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hidePivotFieldList="1" defaultThemeVersion="202300"/>
  <mc:AlternateContent xmlns:mc="http://schemas.openxmlformats.org/markup-compatibility/2006">
    <mc:Choice Requires="x15">
      <x15ac:absPath xmlns:x15ac="http://schemas.microsoft.com/office/spreadsheetml/2010/11/ac" url="https://nielsenenterprise-my.sharepoint.com/personal/sergio_pelayo_nielseniq_com/Documents/Documents/Git-repos/latam-uu-xz-template/latam-uu-xz-template/"/>
    </mc:Choice>
  </mc:AlternateContent>
  <xr:revisionPtr revIDLastSave="2628" documentId="8_{3E9633BF-EDF0-44BA-B15A-12718928BEDB}" xr6:coauthVersionLast="47" xr6:coauthVersionMax="47" xr10:uidLastSave="{61C2A0B0-FB76-4A06-9D2F-0A7738146F51}"/>
  <bookViews>
    <workbookView xWindow="16354" yWindow="-5134" windowWidth="33120" windowHeight="18274" tabRatio="601" firstSheet="2" activeTab="2" xr2:uid="{E613A657-E943-4AD0-95E5-71E0ADF044F1}"/>
  </bookViews>
  <sheets>
    <sheet name="Instructions" sheetId="1" state="hidden" r:id="rId1"/>
    <sheet name="Documentation" sheetId="2" state="hidden" r:id="rId2"/>
    <sheet name="README" sheetId="3" r:id="rId3"/>
    <sheet name="Parameters" sheetId="11" r:id="rId4"/>
    <sheet name="CellAdj" sheetId="4" r:id="rId5"/>
    <sheet name="PVT CellAdj" sheetId="5" r:id="rId6"/>
    <sheet name="PVT StoreArea" sheetId="10" r:id="rId7"/>
    <sheet name="Impacts" sheetId="6" r:id="rId8"/>
    <sheet name="PVT Impacts" sheetId="7" r:id="rId9"/>
  </sheets>
  <definedNames>
    <definedName name="_xlnm._FilterDatabase" localSheetId="7" hidden="1">Impacts!$A$1:$U$11833</definedName>
    <definedName name="_xlpm.A" hidden="1" xlm="1">#NAME?</definedName>
    <definedName name="_xlpm.AB" hidden="1" xlm="1">#NAME?</definedName>
    <definedName name="_xlpm.ABS" hidden="1" xlm="1">#NAME?</definedName>
    <definedName name="_xlpm.S" hidden="1" xlm="1">#NAME?</definedName>
    <definedName name="_xlpm.SA" hidden="1" xlm="1">#NAME?</definedName>
    <definedName name="_xlpm.SAM" hidden="1" xlm="1">#NAME?</definedName>
    <definedName name="_xlpm.SAME" hidden="1" xlm="1">#NAME?</definedName>
    <definedName name="_xlpm.SAMES" hidden="1" xlm="1">#NAME?</definedName>
    <definedName name="_xlpm.SAMESI" hidden="1" xlm="1">#NAME?</definedName>
    <definedName name="_xlpm.SAMESIG" hidden="1" xlm="1">#NAME?</definedName>
    <definedName name="_xlpm.SAMESIGN" hidden="1" xlm="1">#NAME?</definedName>
    <definedName name="_xlpm.V" hidden="1" xlm="1">#NAME?</definedName>
    <definedName name="_xlpm.VA" hidden="1" xlm="1">#NAME?</definedName>
    <definedName name="_xlpm.VAR" hidden="1" xlm="1">#NAME?</definedName>
    <definedName name="_xlpm.VAR_" hidden="1" xlm="1">#NAME?</definedName>
    <definedName name="_xlpm.VAR_X" hidden="1" xlm="1">#NAME?</definedName>
    <definedName name="_xlpm.VAR_X_" hidden="1" xlm="1">#NAME?</definedName>
    <definedName name="_xlpm.VAR_X_Z" hidden="1" xlm="1">#NAME?</definedName>
    <definedName name="_xlpm.VAR_X_Z_" hidden="1" xlm="1">#NAME?</definedName>
    <definedName name="_xlpm.VAR_X_Z_D" hidden="1" xlm="1">#NAME?</definedName>
    <definedName name="_xlpm.VAR_X_Z_DI" hidden="1" xlm="1">#NAME?</definedName>
    <definedName name="_xlpm.VAR_X_Z_DIF" hidden="1" xlm="1">#NAME?</definedName>
    <definedName name="_xlpm.VAR_X_Z_DIFF" hidden="1" xlm="1">#NAME?</definedName>
    <definedName name="_xlpm.VAR_X_Z_DIFFERENCE" hidden="1" xlm="1">#NAME?</definedName>
    <definedName name="_xlpm.VAR_Z" hidden="1" xlm="1">#NAME?</definedName>
    <definedName name="_xlpm.X" hidden="1" xlm="1">#NAME?</definedName>
    <definedName name="_xlpm.X_FACTOR" hidden="1" xlm="1">#NAME?</definedName>
    <definedName name="_xlpm.XF" hidden="1" xlm="1">#NAME?</definedName>
    <definedName name="_xlpm.Y" hidden="1" xlm="1">#NAME?</definedName>
    <definedName name="_xlpm.Z_FACTOR" hidden="1" xlm="1">#NAME?</definedName>
    <definedName name="_xlpm.Z_PANEL" hidden="1" xlm="1">#NAME?</definedName>
    <definedName name="_xlpm.ZF" hidden="1" xlm="1">#NAME?</definedName>
    <definedName name="_xlpm.ZPANEL" hidden="1" xlm="1">#NAME?</definedName>
  </definedNames>
  <calcPr calcId="191029"/>
  <pivotCaches>
    <pivotCache cacheId="1210" r:id="rId10"/>
    <pivotCache cacheId="1219" r:id="rId11"/>
    <pivotCache cacheId="1225" r:id="rId12"/>
    <pivotCache cacheId="1230" r:id="rId13"/>
    <pivotCache cacheId="1236" r:id="rId14"/>
    <pivotCache cacheId="1242" r:id="rId15"/>
    <pivotCache cacheId="1246" r:id="rId16"/>
    <pivotCache cacheId="1251" r:id="rId1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14" i="3" l="1"/>
  <c r="N14" i="3"/>
  <c r="M16" i="3"/>
  <c r="L16" i="3"/>
  <c r="L15" i="3"/>
  <c r="N15" i="3"/>
  <c r="C2" i="5" l="1"/>
  <c r="B2" i="5"/>
  <c r="A2" i="5"/>
  <c r="C1" i="5"/>
  <c r="B1" i="5"/>
  <c r="A1" i="5"/>
  <c r="AC2" i="5"/>
  <c r="AB2" i="5"/>
  <c r="AA2" i="5"/>
  <c r="AC1" i="5"/>
  <c r="AB1" i="5"/>
  <c r="AA1" i="5"/>
  <c r="BC2" i="5"/>
  <c r="BB2" i="5"/>
  <c r="BA2" i="5"/>
  <c r="BC1" i="5"/>
  <c r="BB1" i="5"/>
  <c r="BA1" i="5"/>
  <c r="CC2" i="5"/>
  <c r="CB2" i="5"/>
  <c r="CA2" i="5"/>
  <c r="CC1" i="5"/>
  <c r="CB1" i="5"/>
  <c r="CA1" i="5"/>
  <c r="DC2" i="5"/>
  <c r="DB2" i="5"/>
  <c r="DA2" i="5"/>
  <c r="DC1" i="5"/>
  <c r="DB1" i="5"/>
  <c r="DA1" i="5"/>
  <c r="EC2" i="5"/>
  <c r="EB2" i="5"/>
  <c r="EA2" i="5"/>
  <c r="EC1" i="5"/>
  <c r="EB1" i="5"/>
  <c r="EA1" i="5"/>
</calcChain>
</file>

<file path=xl/sharedStrings.xml><?xml version="1.0" encoding="utf-8"?>
<sst xmlns="http://schemas.openxmlformats.org/spreadsheetml/2006/main" count="310" uniqueCount="188">
  <si>
    <t>IMPORTANT: You must setup the Microsoft Excel's Macros before start:</t>
  </si>
  <si>
    <r>
      <rPr>
        <b/>
        <sz val="12"/>
        <color theme="1"/>
        <rFont val="Montserrat"/>
      </rPr>
      <t xml:space="preserve">0.0. </t>
    </r>
    <r>
      <rPr>
        <sz val="11"/>
        <color theme="1"/>
        <rFont val="Aptos Narrow"/>
        <family val="2"/>
        <scheme val="minor"/>
      </rPr>
      <t>Go to File &gt; Options. In the left side menu select Customize Ribbon. In Main Tabs section tick the Developer checkbox. Then click on OK.</t>
    </r>
  </si>
  <si>
    <r>
      <rPr>
        <b/>
        <sz val="12"/>
        <color theme="1"/>
        <rFont val="Montserrat"/>
      </rPr>
      <t>0.1.</t>
    </r>
    <r>
      <rPr>
        <sz val="11"/>
        <color theme="1"/>
        <rFont val="Aptos Narrow"/>
        <family val="2"/>
        <scheme val="minor"/>
      </rPr>
      <t xml:space="preserve"> Go to File &gt; Options. In the left side menu select Trust Center.Then in the Microsoft Excel Trust Center section click on Trust Center Settings. In the left side menu from the Trust Center window that pops up, go to Macros Settings. Select Disable VBA macros with notification, and tick the Enable Excel 4.0 macros when VBA macros are enabled checkbox. Then click on OK  in Trust Center Windows, and finaly click on OK in Options window.</t>
    </r>
  </si>
  <si>
    <t>STEPS:</t>
  </si>
  <si>
    <t>Macro's name</t>
  </si>
  <si>
    <t>Description</t>
  </si>
  <si>
    <t>S01_CellAdj_Data_Imports</t>
  </si>
  <si>
    <t>ORDER OF EXECUTION</t>
  </si>
  <si>
    <t>NAME OF MACRO</t>
  </si>
  <si>
    <t>DESCRIPTION OF MACRO</t>
  </si>
  <si>
    <t>A00_Steps_from_S01_to_S11_with_Options</t>
  </si>
  <si>
    <t>Executes all the default Macros and allows the user to type the option to be executed fot step 11.</t>
  </si>
  <si>
    <t>WARNING:</t>
  </si>
  <si>
    <t>S02_Impacts_Data_Import</t>
  </si>
  <si>
    <t>Feeds the Impacts worksheet with the working and respective values from the inputs of the algorithm</t>
  </si>
  <si>
    <t>Copy this file and Save it with another name. This is to ensure the proper performance of the Macros' script and to Retrieve the non-modified templete again for future usage. Otherwise you must eliminate all sheets' data (except for the columns' names) before running any Macros.</t>
  </si>
  <si>
    <t>INDEX</t>
  </si>
  <si>
    <t>CHANNEL</t>
  </si>
  <si>
    <t>SAMPLE</t>
  </si>
  <si>
    <t>IBD_ID</t>
  </si>
  <si>
    <t>IBD_Name</t>
  </si>
  <si>
    <t>Cell_ID</t>
  </si>
  <si>
    <t>Cell_Name</t>
  </si>
  <si>
    <t>NielsenArea</t>
  </si>
  <si>
    <t>StoreTypeChannel</t>
  </si>
  <si>
    <t>StoreType</t>
  </si>
  <si>
    <t>Handler</t>
  </si>
  <si>
    <t>BAU_XPanel</t>
  </si>
  <si>
    <t>BAU_ZPanel</t>
  </si>
  <si>
    <t>BAU_XUniverse</t>
  </si>
  <si>
    <t>BAU_ZUniverse</t>
  </si>
  <si>
    <t>BAU_XFactor</t>
  </si>
  <si>
    <t>BAU_ZFactor</t>
  </si>
  <si>
    <t>BAU_XZRatio</t>
  </si>
  <si>
    <t>VUE_XUniverse</t>
  </si>
  <si>
    <t>VUE_ZUniverse</t>
  </si>
  <si>
    <t>VUE_XPanel</t>
  </si>
  <si>
    <t>VUE_ZPanel</t>
  </si>
  <si>
    <t>VUE_XFactor</t>
  </si>
  <si>
    <t>VUE_ZFactor</t>
  </si>
  <si>
    <t>VUE_XZRatio</t>
  </si>
  <si>
    <t>VUE_XZDistance</t>
  </si>
  <si>
    <t>XZ Proposed Distance</t>
  </si>
  <si>
    <t>ADJ_XFactor</t>
  </si>
  <si>
    <t>ADJ_XUniverse</t>
  </si>
  <si>
    <t>VAR_XUniverse (BAU vs VUE)</t>
  </si>
  <si>
    <t>VAR_XUniverse (BAU vs ADJ)</t>
  </si>
  <si>
    <t>VAR_XFactor (BAU vs VUE)</t>
  </si>
  <si>
    <t>VAR_XFactor (BAU vs ADJ)</t>
  </si>
  <si>
    <t>VAR_ZUniverse</t>
  </si>
  <si>
    <t>BAU_N Area-Channel Cell Weight</t>
  </si>
  <si>
    <t>BAU_NSPC Area-Channel Cell Weight</t>
  </si>
  <si>
    <t>VUE_N Area-Channel Cell Weight</t>
  </si>
  <si>
    <t>VUE_NSPC Area-Channel Cell Weight</t>
  </si>
  <si>
    <t>ADJ_NSPC Area-Channel Cell Weight</t>
  </si>
  <si>
    <t>N Area-Channel Cell Weight diff (BAU vs VUE)</t>
  </si>
  <si>
    <t>NSPC Area-Channel Cell Weight diff (BAU vs VUE)</t>
  </si>
  <si>
    <t>NSPC Area-Channel Cell Weight diff (BAU vs ADJ)</t>
  </si>
  <si>
    <t>NSPC Area-Channel Cell Weight diff (VUE vs ADJ)</t>
  </si>
  <si>
    <t>Average BAU Universe</t>
  </si>
  <si>
    <t>Average BAU Panel</t>
  </si>
  <si>
    <t>Average VUE Universe</t>
  </si>
  <si>
    <t>Average VUE Panel</t>
  </si>
  <si>
    <t>Average ADJ Universe</t>
  </si>
  <si>
    <t>DTest</t>
  </si>
  <si>
    <t>NSPCTest</t>
  </si>
  <si>
    <t>XFTest</t>
  </si>
  <si>
    <t>SignTest</t>
  </si>
  <si>
    <t>CellDiagnostic</t>
  </si>
  <si>
    <t>Comments</t>
  </si>
  <si>
    <t>MbdID</t>
  </si>
  <si>
    <t>MbdName</t>
  </si>
  <si>
    <t>CategoryCode</t>
  </si>
  <si>
    <t>CategoryName</t>
  </si>
  <si>
    <t>Baseline_Sales</t>
  </si>
  <si>
    <t>Baseline_CellImportance</t>
  </si>
  <si>
    <t>UnprojectedSales</t>
  </si>
  <si>
    <t>VUE_ProjectedSales</t>
  </si>
  <si>
    <t>ADJ_ProjectedSales</t>
  </si>
  <si>
    <t>VUE_SalesImpact</t>
  </si>
  <si>
    <t>ADJ_SalesImpact</t>
  </si>
  <si>
    <t>CellCatTest</t>
  </si>
  <si>
    <t>OutOfTarget</t>
  </si>
  <si>
    <t>MBDCatDiag</t>
  </si>
  <si>
    <t>MBD Type</t>
  </si>
  <si>
    <t>Target</t>
  </si>
  <si>
    <t>Num Dist</t>
  </si>
  <si>
    <t>Grand Total</t>
  </si>
  <si>
    <t>Sum of Baseline_Sales</t>
  </si>
  <si>
    <t>Sum of VUE_ProjectedSales</t>
  </si>
  <si>
    <t>Sum of ADJ_ProjectedSales</t>
  </si>
  <si>
    <t>Numerical DIstribution</t>
  </si>
  <si>
    <t>MBD Target</t>
  </si>
  <si>
    <t>Impact_VUE</t>
  </si>
  <si>
    <t>Impact</t>
  </si>
  <si>
    <t>Out of Target</t>
  </si>
  <si>
    <t>Sum of BAU_ZUniverse</t>
  </si>
  <si>
    <t>Sum of VUE_ZUniverse</t>
  </si>
  <si>
    <t>Sum of BAU_XUniverse</t>
  </si>
  <si>
    <t>Sum of VUE_XUniverse</t>
  </si>
  <si>
    <t>Sum of ADJ_XUniverse</t>
  </si>
  <si>
    <t>Z_Universe (BAU vs VUE)</t>
  </si>
  <si>
    <t>X_Universe (BAU vs ADJ)</t>
  </si>
  <si>
    <t>Old Structure</t>
  </si>
  <si>
    <t>New Structure</t>
  </si>
  <si>
    <t>Structure Difference</t>
  </si>
  <si>
    <r>
      <rPr>
        <b/>
        <sz val="12"/>
        <color theme="1"/>
        <rFont val="Montserrat"/>
      </rPr>
      <t xml:space="preserve">1.2. </t>
    </r>
    <r>
      <rPr>
        <sz val="12"/>
        <color theme="1"/>
        <rFont val="Montserrat"/>
      </rPr>
      <t>Explore and select the parent directory where the inputs and outputs folder are located.</t>
    </r>
  </si>
  <si>
    <r>
      <rPr>
        <b/>
        <sz val="12"/>
        <color theme="1"/>
        <rFont val="Montserrat"/>
      </rPr>
      <t xml:space="preserve">1.3. </t>
    </r>
    <r>
      <rPr>
        <sz val="12"/>
        <color theme="1"/>
        <rFont val="Montserrat"/>
      </rPr>
      <t>Enter Distance parameter, NSPC parameter, XFactor parameter.</t>
    </r>
  </si>
  <si>
    <r>
      <rPr>
        <b/>
        <sz val="12"/>
        <color theme="1"/>
        <rFont val="Montserrat"/>
      </rPr>
      <t xml:space="preserve">1.4. </t>
    </r>
    <r>
      <rPr>
        <sz val="12"/>
        <color theme="1"/>
        <rFont val="Montserrat"/>
      </rPr>
      <t>Enter Cell Category  parameter, Cell Weight parameter.</t>
    </r>
  </si>
  <si>
    <r>
      <rPr>
        <b/>
        <sz val="12"/>
        <color theme="1"/>
        <rFont val="Montserrat"/>
      </rPr>
      <t xml:space="preserve">1.5. </t>
    </r>
    <r>
      <rPr>
        <sz val="12"/>
        <color theme="1"/>
        <rFont val="Montserrat"/>
      </rPr>
      <t>Select your preferred adjustment option (See README) by typing the asociated number of your tunning parameter.</t>
    </r>
  </si>
  <si>
    <r>
      <rPr>
        <b/>
        <sz val="12"/>
        <color theme="1"/>
        <rFont val="Montserrat"/>
      </rPr>
      <t>1.6.</t>
    </r>
    <r>
      <rPr>
        <sz val="12"/>
        <color theme="1"/>
        <rFont val="Montserrat"/>
      </rPr>
      <t xml:space="preserve"> Wait for all the Macros to be executed until a windows pops up that says: "Your template is ready!".</t>
    </r>
  </si>
  <si>
    <t>S00_SelectParentDirectory</t>
  </si>
  <si>
    <t>The macro S00_SelectParentDirectory makes the user select the parent directory that contains the neccessary files that will be read. The user need to select the directory that contains both the inputs and outputs directories.</t>
  </si>
  <si>
    <t>The macro S01_CellAdj_Data_Imports imports data from a specified CSV file (parent_directory/outputs/XZTemplate_v0.csv) into a worksheet named "CellAdj" in the current workbook. It copies the relevant data, and pastes it into the "CellAdj" worksheet.</t>
  </si>
  <si>
    <t>The macro S02_Impacts_Data_Import imports data from a specified CSV file (parent_directory/outputs/MBDCatCell_Impacts_v0.csv) into a worksheet named "Impacts" in the current workbook. It copies the relevant data, and pastes it into the "Impacts" worksheet.</t>
  </si>
  <si>
    <t>S03_CellAdj_Necessary_Formulas</t>
  </si>
  <si>
    <t>The macro S03_CellAdj_Necessary_Formulas updates VAR_XUniverse (BAU vs ADJ), VAR_XFactor (BAU vs ADJ), ADJ_NSPC Area-Channel Cell Weight, NSPC Area-Channel Cell Weight diff (BAU vs ADJ), NSPC Area-Channel Cell Weight diff (VUE vs ADJ), Average BAU Universe,  Average BAU Panel, Average VUE Universe, Average VUE Panel, Average ADJ Universe, DTest, NSPCTest, XFTest, SignTest, and CellDiagnostic with the respective cell's formulas in "CellAdj" Worksheet.</t>
  </si>
  <si>
    <t>S04_Impacts_Necessary_Formulas</t>
  </si>
  <si>
    <t>The macro S04_Impacts_Necessary_Formulas updates ADJ_Xfactor ADJ_ProjectedSales, ADJ_SalesImpact,  CellCatTest, OutOfTarget, and MBDCatDiag with the respective cell's formulas in "Impacts" Worksheet.</t>
  </si>
  <si>
    <t>S05_PVT_CellAdj Macro</t>
  </si>
  <si>
    <t>The macro S06_PVT_CellADj_Formulas Macro updates Z_Universe (BAU vs VUE), X_Universe (BAU vs ADJ), Old_Structure, New_Structure, and Structure_Difference with the respective cell's formulas for all six Pivots in the "PVT CellAdj" Worksheet.</t>
  </si>
  <si>
    <t xml:space="preserve">The macro S05_PVT_CellAdj Macro ppdates all the six pivots within "PVT CellAdj" worksheet:NielsenArea, StoreTypeChannel, StoreType, NielsenArea + StoreTypeChannel, NielsenArea + StoreType, NielsenArea + StoreTypeChannel + StoreType. </t>
  </si>
  <si>
    <t>S07_PVT_Impacts</t>
  </si>
  <si>
    <t>The macro S08_PVT_Impacts_Formulas Macro updates Impact, Numericca_Distribution, MBD_Type, MBD_Target, and Out_of_Target with the respective cell's formulas in the "PVT Impacts" Worksheet.</t>
  </si>
  <si>
    <t>The macro S07_PVT_Impacts updates the pivot within "PVT Impacts" worksheet.</t>
  </si>
  <si>
    <t>S09_CellAdj_Option_03</t>
  </si>
  <si>
    <t>S09_Options</t>
  </si>
  <si>
    <t>S06_PVT_CellADj_Formulas</t>
  </si>
  <si>
    <t>S08_PVT_Impacts_Formulas</t>
  </si>
  <si>
    <t>S09_CellAdj_Option_01</t>
  </si>
  <si>
    <t>S09_CellAdj_Option_02</t>
  </si>
  <si>
    <t>S10_Hide_not_neccessary_worksheets</t>
  </si>
  <si>
    <t>00</t>
  </si>
  <si>
    <t>Select the working directory from where the inputs will be brought.</t>
  </si>
  <si>
    <t>Feeds the CellAdj worksheet with the working and respective values from the outputs of the algorithm.</t>
  </si>
  <si>
    <t>Updates VAR_XUniverse (BAU vs ADJ), VAR_XFactor (BAU vs ADJ), ADJ_NSPC Area-Channel Cell Weight, NSPC Area-Channel Cell Weight diff (BAU vs ADJ), NSPC Area-Channel Cell Weight diff (VUE vs ADJ), Average BAU Universe,  Average BAU Panel, Average VUE Universe, Average VUE Panel, Average ADJ Universe, DTest, NSPCTest, XFTest, SignTest, and CellDiagnostic with the respective formulas in CellAdj worksheet</t>
  </si>
  <si>
    <t>Updates ADJ_Xfactor ADJ_ProjectedSales, ADJ_SalesImpact,  CellCatTest, OutOfTarget, and MBDCatDiag with the respective formulas in Impacts worksheet</t>
  </si>
  <si>
    <t>Updates Z_Universe (BAU vs VUE), X_Universe (BAU vs ADJ), Old_Structure, New_Structure, and Structure_Difference with the respective cell's formulas for all six Pivots in the PVT CellAdj worksheet</t>
  </si>
  <si>
    <t>Updates the pivot within PVT Impacts worksheet</t>
  </si>
  <si>
    <t>Updates all the six pivots within PVT CellAdj worksheet</t>
  </si>
  <si>
    <t>Updates Impact, Numericca_Distribution, MBD_Type, MBD_Target, and Out_of_Target with the respective cell's formulas in the PVT Impacts worksheet</t>
  </si>
  <si>
    <r>
      <t>Sets</t>
    </r>
    <r>
      <rPr>
        <b/>
        <sz val="11"/>
        <color theme="1"/>
        <rFont val="Aptos Narrow"/>
        <family val="2"/>
        <scheme val="minor"/>
      </rPr>
      <t xml:space="preserve"> XZ Proposed Distance </t>
    </r>
    <r>
      <rPr>
        <sz val="11"/>
        <color theme="1"/>
        <rFont val="Aptos Narrow"/>
        <family val="2"/>
        <scheme val="minor"/>
      </rPr>
      <t>as tunning parameter: ADJ_XFactor as function of (VUE_ZPanel, VUE_ZFactor) XZ Proposed Distance; and ADJ_XUniverse as function of  ADJ_XFactor, and VUE_XPanel</t>
    </r>
  </si>
  <si>
    <r>
      <t>Sets</t>
    </r>
    <r>
      <rPr>
        <b/>
        <sz val="11"/>
        <color theme="1"/>
        <rFont val="Aptos Narrow"/>
        <family val="2"/>
        <scheme val="minor"/>
      </rPr>
      <t xml:space="preserve"> ADJ_XFactor</t>
    </r>
    <r>
      <rPr>
        <sz val="11"/>
        <color theme="1"/>
        <rFont val="Aptos Narrow"/>
        <family val="2"/>
        <scheme val="minor"/>
      </rPr>
      <t xml:space="preserve"> as tunning parameter: XZ Proposed Distance as function of (VUE_ZPanel, VUE_ZFactor) ADJ_Xfactor; and ADJ_XUniverse as function of  ADJ_XFactor, and VUE_Xpanel</t>
    </r>
  </si>
  <si>
    <r>
      <t xml:space="preserve">Sets </t>
    </r>
    <r>
      <rPr>
        <b/>
        <sz val="11"/>
        <color theme="1"/>
        <rFont val="Aptos Narrow"/>
        <family val="2"/>
        <scheme val="minor"/>
      </rPr>
      <t>ADJ_XUniverse</t>
    </r>
    <r>
      <rPr>
        <sz val="11"/>
        <color theme="1"/>
        <rFont val="Aptos Narrow"/>
        <family val="2"/>
        <scheme val="minor"/>
      </rPr>
      <t xml:space="preserve"> as tunning parameter: XZ Proposed Distance as function of (VUE_ZPanel, VUE_ZFactor) ADJ_Xfactor; and ADJ_XUniverse as function of  ADJ_XFactor, and VUE_XPanel</t>
    </r>
  </si>
  <si>
    <t>Aallows the user to decide which option from S09_CellAdj_Option_01, S09_CellAdj_Option_02, S09_CellAdj_Option_03, or None to execute</t>
  </si>
  <si>
    <t>Hides Instructions, Documentation, and README worksheets</t>
  </si>
  <si>
    <t>None</t>
  </si>
  <si>
    <t>Doesn't perfom any formulas update to CellAdj worksheet.</t>
  </si>
  <si>
    <t>Example of each one of the Adjustment Options</t>
  </si>
  <si>
    <t>Sum of BAU_XZRatio</t>
  </si>
  <si>
    <t>Values</t>
  </si>
  <si>
    <t>Sum of Average BAU Universe</t>
  </si>
  <si>
    <t>Sum of Average BAU Panel</t>
  </si>
  <si>
    <t>Sum of Average VUE Universe</t>
  </si>
  <si>
    <t>Sum of Average VUE Panel</t>
  </si>
  <si>
    <t>Sum of Average ADJ Universe</t>
  </si>
  <si>
    <t>S10_CellAdj_Option_01</t>
  </si>
  <si>
    <t>The macro S10_CellAdj_Option_01 Macro within "CellAdj" worksheet, sets XZ Proposed Distance as tunning parameter: ADJ_XFactor as function of (VUE_ZPanel, VUE_ZFactor) XZ Proposed Distance; and ADJ_XUniverse as function of  ADJ_XFactor, and VUE_XPanel.</t>
  </si>
  <si>
    <t>S10_CellAdj_Option_02</t>
  </si>
  <si>
    <t>The macro S10_CellAdj_Option_02 Macro within "CellAdj" worksheet, sets ADJ_XFactor as tunning parameter: XZ Proposed Distance as function of (VUE_ZPanel, VUE_ZFactor) ADJ_Xfactor; and ADJ_XUniverse as function of  ADJ_XFactor, and VUE_XPanel.</t>
  </si>
  <si>
    <t>S10_CellAdj_Option_03</t>
  </si>
  <si>
    <t>The macro S10_CellAdj_Option_03 within "CellAdj" worksheet, sets ADJ_XUniverse as tunning parameter: XZ Proposed Distance as function of (VUE_ZPanel, VUE_ZFactor) ADJ_Xfactor; and ADJ_XUniverse as function of  ADJ_XFactor, and VUE_XPanel.</t>
  </si>
  <si>
    <t>S10_Options</t>
  </si>
  <si>
    <t>The macro S10_Options allows the user to decide which option from S09_CellAdj_Option_01, S09_CellAdj_Option_02, S09_CellAdj_Option_03, or None to execute.</t>
  </si>
  <si>
    <t>S11_Hide_not_neccessary_worksheets</t>
  </si>
  <si>
    <t>The macro S11_Hide_not_neccessary_worksheets hides Instructions, Documentation, and README worksheets. Also notifies the user of this action. If needed, the user can unhide them.</t>
  </si>
  <si>
    <t>The macro A00_Steps_from_S01_to_S11_with_Options runs all of the above macros and notifies the user when the Template is ready to be used.</t>
  </si>
  <si>
    <t>S09_PVT_StoreArea</t>
  </si>
  <si>
    <t>The macro S09_PVT_StoreArea updates the pivot within "PVT StoreArea" worksheet.</t>
  </si>
  <si>
    <t>Updates the pivot within PVT StoreArea worksheet</t>
  </si>
  <si>
    <t>Only execute this Macro. By clicking the button to the right.</t>
  </si>
  <si>
    <r>
      <rPr>
        <b/>
        <sz val="12"/>
        <color theme="1"/>
        <rFont val="Montserrat"/>
      </rPr>
      <t>1.1.</t>
    </r>
    <r>
      <rPr>
        <sz val="12"/>
        <color theme="1"/>
        <rFont val="Montserrat"/>
      </rPr>
      <t xml:space="preserve"> In the README worksheet click on the RUN MAIN MACRO button, or go to the Developer Tab &gt; Macros and select the A00_Steps_from_S01_to_S11_with_Options the click on Run.</t>
    </r>
  </si>
  <si>
    <t>S99_Reset_ExcelMacro()</t>
  </si>
  <si>
    <t>The macro S99_Reset_ExcelMacro resets and clears contents across multiple worksheets</t>
  </si>
  <si>
    <r>
      <rPr>
        <b/>
        <sz val="12"/>
        <color theme="1"/>
        <rFont val="Montserrat"/>
      </rPr>
      <t>0.2*.</t>
    </r>
    <r>
      <rPr>
        <sz val="11"/>
        <color theme="1"/>
        <rFont val="Aptos Narrow"/>
        <family val="2"/>
        <scheme val="minor"/>
      </rPr>
      <t xml:space="preserve"> If the above doesn't work in the file explorer righ-click this file go to Properties&gt;General, check/tick the "unblock" box then click on the OK button.</t>
    </r>
  </si>
  <si>
    <r>
      <rPr>
        <b/>
        <sz val="12"/>
        <color theme="1"/>
        <rFont val="Montserrat"/>
      </rPr>
      <t>1.0.</t>
    </r>
    <r>
      <rPr>
        <sz val="12"/>
        <color theme="1"/>
        <rFont val="Montserrat"/>
      </rPr>
      <t xml:space="preserve"> Make sure that all worksheets from CellAdj to MBD Type Target are not populated. You can also click on the RESET MACRO button located in the README worksheet.</t>
    </r>
  </si>
  <si>
    <t>(blank)</t>
  </si>
  <si>
    <t>(blank) Total</t>
  </si>
  <si>
    <t>Parameter_name</t>
  </si>
  <si>
    <t>Parameter_value</t>
  </si>
  <si>
    <t>NSPC parameter</t>
  </si>
  <si>
    <t>Distance parameter</t>
  </si>
  <si>
    <t>XF parameter</t>
  </si>
  <si>
    <t>Cell-Category parameter</t>
  </si>
  <si>
    <t>Cell-Weight parameter</t>
  </si>
  <si>
    <t>Vars Xuniverse vs Zuniverse same direction gap tolerance</t>
  </si>
  <si>
    <t>Vars Xuniverse vs Zuniverse different direction gap tolerance</t>
  </si>
  <si>
    <t>VarDirectionGapTest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</si>
</sst>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0.000"/>
    <numFmt numFmtId="165" formatCode="0.000"/>
    <numFmt numFmtId="166" formatCode="#,##0_ ;\-#,##0\ "/>
    <numFmt numFmtId="167" formatCode="0.000%"/>
    <numFmt numFmtId="168" formatCode="#,##0.00_ ;\-#,##0.00\ "/>
  </numFmts>
  <fonts count="14" x14ac:knownFonts="1">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b/>
      <sz val="12"/>
      <color theme="1"/>
      <name val="Montserrat"/>
    </font>
    <font>
      <sz val="12"/>
      <color theme="1"/>
      <name val="Montserrat"/>
    </font>
    <font>
      <b/>
      <sz val="14"/>
      <color theme="0"/>
      <name val="Montserrat"/>
    </font>
    <font>
      <b/>
      <sz val="12"/>
      <color theme="0"/>
      <name val="Montserrat"/>
    </font>
    <font>
      <sz val="12"/>
      <color theme="0"/>
      <name val="Montserrat"/>
      <family val="2"/>
    </font>
    <font>
      <sz val="12"/>
      <name val="Montserrat"/>
      <family val="2"/>
    </font>
    <font>
      <sz val="11"/>
      <color theme="1"/>
      <name val="Montserrat"/>
    </font>
    <font>
      <b/>
      <sz val="16"/>
      <color theme="0"/>
      <name val="Montserrat"/>
    </font>
    <font>
      <sz val="11"/>
      <name val="Aptos Narrow"/>
      <family val="2"/>
      <scheme val="minor"/>
    </font>
  </fonts>
  <fills count="27">
    <fill>
      <patternFill patternType="none"/>
    </fill>
    <fill>
      <patternFill patternType="gray125"/>
    </fill>
    <fill>
      <patternFill patternType="solid">
        <fgColor rgb="FFFFCC66"/>
        <bgColor indexed="64"/>
      </patternFill>
    </fill>
    <fill>
      <patternFill patternType="solid">
        <fgColor theme="9" tint="0.59999389629810485"/>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rgb="FF990000"/>
        <bgColor indexed="64"/>
      </patternFill>
    </fill>
    <fill>
      <patternFill patternType="solid">
        <fgColor theme="1"/>
        <bgColor indexed="64"/>
      </patternFill>
    </fill>
    <fill>
      <patternFill patternType="solid">
        <fgColor theme="4" tint="-0.249977111117893"/>
        <bgColor indexed="64"/>
      </patternFill>
    </fill>
    <fill>
      <patternFill patternType="solid">
        <fgColor theme="6" tint="-0.249977111117893"/>
        <bgColor indexed="64"/>
      </patternFill>
    </fill>
    <fill>
      <patternFill patternType="solid">
        <fgColor rgb="FF33CC33"/>
        <bgColor indexed="64"/>
      </patternFill>
    </fill>
    <fill>
      <patternFill patternType="solid">
        <fgColor theme="5" tint="-0.249977111117893"/>
        <bgColor indexed="64"/>
      </patternFill>
    </fill>
    <fill>
      <patternFill patternType="solid">
        <fgColor theme="1" tint="0.249977111117893"/>
        <bgColor indexed="64"/>
      </patternFill>
    </fill>
    <fill>
      <patternFill patternType="solid">
        <fgColor theme="1" tint="0.499984740745262"/>
        <bgColor indexed="64"/>
      </patternFill>
    </fill>
    <fill>
      <patternFill patternType="solid">
        <fgColor theme="2" tint="-0.249977111117893"/>
        <bgColor indexed="64"/>
      </patternFill>
    </fill>
    <fill>
      <patternFill patternType="solid">
        <fgColor theme="8" tint="-0.249977111117893"/>
        <bgColor indexed="64"/>
      </patternFill>
    </fill>
    <fill>
      <patternFill patternType="solid">
        <fgColor rgb="FFFFFF99"/>
        <bgColor indexed="64"/>
      </patternFill>
    </fill>
    <fill>
      <patternFill patternType="solid">
        <fgColor theme="3" tint="0.249977111117893"/>
        <bgColor indexed="64"/>
      </patternFill>
    </fill>
    <fill>
      <patternFill patternType="solid">
        <fgColor theme="8"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rgb="FFC00000"/>
        <bgColor indexed="64"/>
      </patternFill>
    </fill>
    <fill>
      <patternFill patternType="solid">
        <fgColor theme="9" tint="-0.249977111117893"/>
        <bgColor indexed="64"/>
      </patternFill>
    </fill>
    <fill>
      <patternFill patternType="solid">
        <fgColor theme="5" tint="-0.249977111117893"/>
        <bgColor rgb="FFFFC000"/>
      </patternFill>
    </fill>
    <fill>
      <patternFill patternType="solid">
        <fgColor theme="8" tint="-0.249977111117893"/>
        <bgColor theme="8" tint="0.39997558519241921"/>
      </patternFill>
    </fill>
    <fill>
      <patternFill patternType="solid">
        <fgColor rgb="FF12501A"/>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rgb="FFC00000"/>
      </left>
      <right/>
      <top style="medium">
        <color rgb="FFC00000"/>
      </top>
      <bottom style="medium">
        <color rgb="FFC00000"/>
      </bottom>
      <diagonal/>
    </border>
    <border>
      <left/>
      <right/>
      <top style="medium">
        <color rgb="FFC00000"/>
      </top>
      <bottom style="medium">
        <color rgb="FFC00000"/>
      </bottom>
      <diagonal/>
    </border>
    <border>
      <left/>
      <right style="medium">
        <color rgb="FFC00000"/>
      </right>
      <top style="medium">
        <color rgb="FFC00000"/>
      </top>
      <bottom style="medium">
        <color rgb="FFC00000"/>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Dashed">
        <color theme="0" tint="-0.249977111117893"/>
      </right>
      <top/>
      <bottom/>
      <diagonal/>
    </border>
    <border>
      <left style="mediumDashed">
        <color theme="0" tint="-0.249977111117893"/>
      </left>
      <right style="mediumDashed">
        <color theme="0" tint="-0.249977111117893"/>
      </right>
      <top style="mediumDashed">
        <color theme="0" tint="-0.14999847407452621"/>
      </top>
      <bottom style="mediumDashed">
        <color theme="0" tint="-0.249977111117893"/>
      </bottom>
      <diagonal/>
    </border>
    <border>
      <left/>
      <right style="mediumDashed">
        <color indexed="64"/>
      </right>
      <top/>
      <bottom/>
      <diagonal/>
    </border>
    <border>
      <left style="mediumDashed">
        <color indexed="64"/>
      </left>
      <right style="mediumDashed">
        <color indexed="64"/>
      </right>
      <top style="mediumDashed">
        <color rgb="FF92D050"/>
      </top>
      <bottom style="mediumDashed">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135">
    <xf numFmtId="0" fontId="0" fillId="0" borderId="0" xfId="0"/>
    <xf numFmtId="0" fontId="5" fillId="2" borderId="1" xfId="0" applyFont="1" applyFill="1" applyBorder="1"/>
    <xf numFmtId="0" fontId="5" fillId="3" borderId="1" xfId="0" applyFont="1" applyFill="1" applyBorder="1"/>
    <xf numFmtId="0" fontId="7" fillId="4" borderId="1" xfId="0" applyFont="1" applyFill="1" applyBorder="1"/>
    <xf numFmtId="0" fontId="5" fillId="5" borderId="1" xfId="0" applyFont="1" applyFill="1" applyBorder="1" applyAlignment="1">
      <alignment horizontal="left" vertical="top" wrapText="1"/>
    </xf>
    <xf numFmtId="0" fontId="0" fillId="5" borderId="1" xfId="0" applyFill="1" applyBorder="1" applyAlignment="1">
      <alignment horizontal="left" vertical="center" wrapText="1"/>
    </xf>
    <xf numFmtId="0" fontId="8" fillId="6" borderId="1" xfId="0" applyFont="1" applyFill="1" applyBorder="1" applyAlignment="1">
      <alignment horizontal="center" vertical="center"/>
    </xf>
    <xf numFmtId="49" fontId="9" fillId="7" borderId="0" xfId="0" applyNumberFormat="1" applyFont="1" applyFill="1" applyAlignment="1">
      <alignment horizontal="center" vertical="center"/>
    </xf>
    <xf numFmtId="1" fontId="9" fillId="7" borderId="0" xfId="0" applyNumberFormat="1" applyFont="1" applyFill="1" applyAlignment="1">
      <alignment horizontal="center" vertical="center"/>
    </xf>
    <xf numFmtId="3" fontId="9" fillId="4" borderId="0" xfId="0" applyNumberFormat="1" applyFont="1" applyFill="1" applyAlignment="1">
      <alignment horizontal="center" vertical="center"/>
    </xf>
    <xf numFmtId="1" fontId="9" fillId="4" borderId="0" xfId="0" applyNumberFormat="1" applyFont="1" applyFill="1" applyAlignment="1">
      <alignment horizontal="center" vertical="center"/>
    </xf>
    <xf numFmtId="4" fontId="9" fillId="4" borderId="0" xfId="0" applyNumberFormat="1" applyFont="1" applyFill="1" applyAlignment="1">
      <alignment horizontal="center" vertical="center"/>
    </xf>
    <xf numFmtId="9" fontId="9" fillId="4" borderId="0" xfId="2" applyFont="1" applyFill="1" applyAlignment="1">
      <alignment horizontal="center" vertical="center"/>
    </xf>
    <xf numFmtId="3" fontId="9" fillId="8" borderId="0" xfId="0" applyNumberFormat="1" applyFont="1" applyFill="1" applyAlignment="1">
      <alignment horizontal="center" vertical="center"/>
    </xf>
    <xf numFmtId="1" fontId="9" fillId="8" borderId="0" xfId="0" applyNumberFormat="1" applyFont="1" applyFill="1" applyAlignment="1">
      <alignment horizontal="center" vertical="center"/>
    </xf>
    <xf numFmtId="4" fontId="9" fillId="8" borderId="0" xfId="0" applyNumberFormat="1" applyFont="1" applyFill="1" applyAlignment="1">
      <alignment horizontal="center" vertical="center"/>
    </xf>
    <xf numFmtId="9" fontId="9" fillId="8" borderId="0" xfId="2" applyFont="1" applyFill="1" applyAlignment="1">
      <alignment horizontal="center" vertical="center"/>
    </xf>
    <xf numFmtId="164" fontId="9" fillId="8" borderId="0" xfId="0" applyNumberFormat="1" applyFont="1" applyFill="1" applyAlignment="1">
      <alignment horizontal="center" vertical="center"/>
    </xf>
    <xf numFmtId="10" fontId="9" fillId="11" borderId="0" xfId="2" applyNumberFormat="1" applyFont="1" applyFill="1" applyAlignment="1">
      <alignment horizontal="center" vertical="center" wrapText="1"/>
    </xf>
    <xf numFmtId="10" fontId="9" fillId="9" borderId="0" xfId="2" applyNumberFormat="1" applyFont="1" applyFill="1" applyAlignment="1">
      <alignment horizontal="center" vertical="center" wrapText="1"/>
    </xf>
    <xf numFmtId="10" fontId="9" fillId="11" borderId="0" xfId="2" applyNumberFormat="1" applyFont="1" applyFill="1" applyAlignment="1">
      <alignment horizontal="center" vertical="center"/>
    </xf>
    <xf numFmtId="167" fontId="9" fillId="12" borderId="0" xfId="2" applyNumberFormat="1" applyFont="1" applyFill="1" applyAlignment="1">
      <alignment horizontal="center" vertical="center" wrapText="1"/>
    </xf>
    <xf numFmtId="167" fontId="9" fillId="12" borderId="11" xfId="2" applyNumberFormat="1" applyFont="1" applyFill="1" applyBorder="1" applyAlignment="1">
      <alignment horizontal="center" vertical="center" wrapText="1"/>
    </xf>
    <xf numFmtId="167" fontId="8" fillId="12" borderId="12" xfId="2" applyNumberFormat="1" applyFont="1" applyFill="1" applyBorder="1" applyAlignment="1">
      <alignment horizontal="center" vertical="center" wrapText="1"/>
    </xf>
    <xf numFmtId="167" fontId="9" fillId="13" borderId="0" xfId="2" applyNumberFormat="1" applyFont="1" applyFill="1" applyAlignment="1">
      <alignment horizontal="center" vertical="center" wrapText="1"/>
    </xf>
    <xf numFmtId="167" fontId="9" fillId="13" borderId="13" xfId="2" applyNumberFormat="1" applyFont="1" applyFill="1" applyBorder="1" applyAlignment="1">
      <alignment horizontal="center" vertical="center" wrapText="1"/>
    </xf>
    <xf numFmtId="167" fontId="8" fillId="13" borderId="14" xfId="2" applyNumberFormat="1" applyFont="1" applyFill="1" applyBorder="1" applyAlignment="1">
      <alignment horizontal="center" vertical="center" wrapText="1"/>
    </xf>
    <xf numFmtId="168" fontId="9" fillId="14" borderId="14" xfId="1" applyNumberFormat="1" applyFont="1" applyFill="1" applyBorder="1" applyAlignment="1">
      <alignment horizontal="center" vertical="center" wrapText="1"/>
    </xf>
    <xf numFmtId="168" fontId="8" fillId="14" borderId="14" xfId="1" applyNumberFormat="1" applyFont="1" applyFill="1" applyBorder="1" applyAlignment="1">
      <alignment horizontal="center" vertical="center" wrapText="1"/>
    </xf>
    <xf numFmtId="1" fontId="9" fillId="15" borderId="14" xfId="0" applyNumberFormat="1" applyFont="1" applyFill="1" applyBorder="1" applyAlignment="1">
      <alignment horizontal="center" vertical="center"/>
    </xf>
    <xf numFmtId="49" fontId="10" fillId="16" borderId="0" xfId="0" applyNumberFormat="1" applyFont="1" applyFill="1" applyAlignment="1">
      <alignment horizontal="center" vertical="center"/>
    </xf>
    <xf numFmtId="49" fontId="0" fillId="0" borderId="0" xfId="0" applyNumberFormat="1"/>
    <xf numFmtId="1" fontId="0" fillId="0" borderId="0" xfId="0" applyNumberFormat="1"/>
    <xf numFmtId="1" fontId="0" fillId="0" borderId="0" xfId="0" applyNumberFormat="1" applyAlignment="1">
      <alignment horizontal="center" vertical="center"/>
    </xf>
    <xf numFmtId="3" fontId="0" fillId="0" borderId="0" xfId="0" applyNumberFormat="1" applyAlignment="1">
      <alignment horizontal="center" vertical="center"/>
    </xf>
    <xf numFmtId="4" fontId="0" fillId="0" borderId="0" xfId="0" applyNumberFormat="1" applyAlignment="1">
      <alignment horizontal="center" vertical="center"/>
    </xf>
    <xf numFmtId="9" fontId="0" fillId="0" borderId="0" xfId="2" applyFont="1" applyFill="1" applyAlignment="1">
      <alignment horizontal="center" vertical="center"/>
    </xf>
    <xf numFmtId="164" fontId="0" fillId="0" borderId="0" xfId="0" applyNumberFormat="1" applyAlignment="1">
      <alignment horizontal="center" vertical="center"/>
    </xf>
    <xf numFmtId="165" fontId="0" fillId="0" borderId="0" xfId="0" applyNumberFormat="1" applyAlignment="1">
      <alignment horizontal="center" vertical="center"/>
    </xf>
    <xf numFmtId="2" fontId="0" fillId="0" borderId="0" xfId="0" applyNumberFormat="1" applyAlignment="1">
      <alignment horizontal="center" vertical="center"/>
    </xf>
    <xf numFmtId="166" fontId="0" fillId="0" borderId="0" xfId="1" applyNumberFormat="1" applyFont="1" applyFill="1" applyBorder="1" applyAlignment="1">
      <alignment horizontal="center" vertical="center"/>
    </xf>
    <xf numFmtId="10" fontId="0" fillId="0" borderId="0" xfId="2" applyNumberFormat="1" applyFont="1" applyFill="1" applyAlignment="1">
      <alignment horizontal="center" vertical="center"/>
    </xf>
    <xf numFmtId="10" fontId="0" fillId="0" borderId="0" xfId="2" applyNumberFormat="1" applyFont="1" applyAlignment="1">
      <alignment horizontal="center" vertical="center"/>
    </xf>
    <xf numFmtId="167" fontId="0" fillId="0" borderId="0" xfId="2" applyNumberFormat="1" applyFont="1" applyFill="1" applyAlignment="1">
      <alignment horizontal="center" vertical="center"/>
    </xf>
    <xf numFmtId="167" fontId="0" fillId="0" borderId="0" xfId="2" applyNumberFormat="1" applyFont="1" applyAlignment="1">
      <alignment horizontal="center" vertical="center"/>
    </xf>
    <xf numFmtId="168" fontId="0" fillId="0" borderId="0" xfId="1" applyNumberFormat="1" applyFont="1" applyAlignment="1">
      <alignment horizontal="center" vertical="center"/>
    </xf>
    <xf numFmtId="49" fontId="0" fillId="0" borderId="0" xfId="0" applyNumberFormat="1" applyAlignment="1">
      <alignment horizontal="center" vertical="center"/>
    </xf>
    <xf numFmtId="49" fontId="9" fillId="7" borderId="0" xfId="0" applyNumberFormat="1" applyFont="1" applyFill="1"/>
    <xf numFmtId="10" fontId="0" fillId="0" borderId="0" xfId="2" applyNumberFormat="1" applyFont="1"/>
    <xf numFmtId="164" fontId="9" fillId="7" borderId="0" xfId="0" applyNumberFormat="1" applyFont="1" applyFill="1" applyAlignment="1">
      <alignment horizontal="center" vertical="center"/>
    </xf>
    <xf numFmtId="10" fontId="9" fillId="7" borderId="0" xfId="2" applyNumberFormat="1" applyFont="1" applyFill="1" applyAlignment="1">
      <alignment horizontal="center" vertical="center"/>
    </xf>
    <xf numFmtId="164" fontId="9" fillId="17" borderId="0" xfId="0" applyNumberFormat="1" applyFont="1" applyFill="1" applyAlignment="1">
      <alignment horizontal="center" vertical="center"/>
    </xf>
    <xf numFmtId="164" fontId="9" fillId="9" borderId="0" xfId="0" applyNumberFormat="1" applyFont="1" applyFill="1" applyAlignment="1">
      <alignment horizontal="center" vertical="center"/>
    </xf>
    <xf numFmtId="10" fontId="9" fillId="17" borderId="0" xfId="2" applyNumberFormat="1" applyFont="1" applyFill="1" applyAlignment="1">
      <alignment horizontal="center" vertical="center"/>
    </xf>
    <xf numFmtId="10" fontId="9" fillId="9" borderId="0" xfId="2" applyNumberFormat="1" applyFont="1" applyFill="1" applyAlignment="1">
      <alignment horizontal="center" vertical="center"/>
    </xf>
    <xf numFmtId="1" fontId="9" fillId="18" borderId="0" xfId="0" applyNumberFormat="1" applyFont="1" applyFill="1" applyAlignment="1">
      <alignment horizontal="center" vertical="center"/>
    </xf>
    <xf numFmtId="0" fontId="9" fillId="15" borderId="14" xfId="0" applyFont="1" applyFill="1" applyBorder="1" applyAlignment="1">
      <alignment horizontal="center" vertical="center"/>
    </xf>
    <xf numFmtId="0" fontId="0" fillId="0" borderId="0" xfId="0" applyAlignment="1">
      <alignment horizontal="center" vertical="center"/>
    </xf>
    <xf numFmtId="0" fontId="9" fillId="18" borderId="0" xfId="0" applyFont="1" applyFill="1" applyAlignment="1">
      <alignment horizontal="center" vertical="center"/>
    </xf>
    <xf numFmtId="9" fontId="9" fillId="7" borderId="0" xfId="2" applyFont="1" applyFill="1" applyAlignment="1">
      <alignment horizontal="center" vertical="center"/>
    </xf>
    <xf numFmtId="9" fontId="0" fillId="0" borderId="0" xfId="2" applyFont="1" applyAlignment="1">
      <alignment horizontal="center" vertical="center"/>
    </xf>
    <xf numFmtId="0" fontId="11" fillId="0" borderId="0" xfId="0" pivotButton="1" applyFont="1" applyAlignment="1">
      <alignment horizontal="center" vertical="center"/>
    </xf>
    <xf numFmtId="0" fontId="11" fillId="0" borderId="0" xfId="0" applyFont="1" applyAlignment="1">
      <alignment horizontal="center" vertical="center"/>
    </xf>
    <xf numFmtId="1" fontId="11" fillId="0" borderId="0" xfId="0" applyNumberFormat="1" applyFont="1" applyAlignment="1">
      <alignment horizontal="center" vertical="center"/>
    </xf>
    <xf numFmtId="10" fontId="11" fillId="0" borderId="0" xfId="0" applyNumberFormat="1" applyFont="1" applyAlignment="1">
      <alignment horizontal="center" vertical="center"/>
    </xf>
    <xf numFmtId="9" fontId="11" fillId="0" borderId="0" xfId="0" applyNumberFormat="1" applyFont="1" applyAlignment="1">
      <alignment horizontal="center" vertical="center"/>
    </xf>
    <xf numFmtId="0" fontId="11" fillId="0" borderId="0" xfId="0" applyFont="1" applyAlignment="1">
      <alignment horizontal="left" vertical="center"/>
    </xf>
    <xf numFmtId="10" fontId="11" fillId="0" borderId="0" xfId="2" applyNumberFormat="1" applyFont="1" applyAlignment="1">
      <alignment horizontal="center" vertical="center"/>
    </xf>
    <xf numFmtId="4" fontId="11" fillId="0" borderId="0" xfId="0" applyNumberFormat="1" applyFont="1" applyAlignment="1">
      <alignment horizontal="center" vertical="center" wrapText="1"/>
    </xf>
    <xf numFmtId="4" fontId="11" fillId="0" borderId="0" xfId="0" applyNumberFormat="1" applyFont="1" applyAlignment="1">
      <alignment horizontal="center" vertical="center"/>
    </xf>
    <xf numFmtId="0" fontId="0" fillId="0" borderId="0" xfId="0" pivotButton="1" applyAlignment="1">
      <alignment horizontal="center" vertical="center"/>
    </xf>
    <xf numFmtId="0" fontId="0" fillId="0" borderId="0" xfId="0" applyAlignment="1">
      <alignment horizontal="center" vertical="center" wrapText="1"/>
    </xf>
    <xf numFmtId="0" fontId="5" fillId="19" borderId="1" xfId="0" applyFont="1" applyFill="1" applyBorder="1" applyAlignment="1">
      <alignment horizontal="center" vertical="center" wrapText="1"/>
    </xf>
    <xf numFmtId="3" fontId="0" fillId="0" borderId="0" xfId="0" applyNumberFormat="1" applyAlignment="1">
      <alignment horizontal="center" vertical="center" wrapText="1"/>
    </xf>
    <xf numFmtId="10" fontId="9" fillId="17" borderId="0" xfId="2" applyNumberFormat="1" applyFont="1" applyFill="1" applyAlignment="1">
      <alignment horizontal="center" vertical="center" wrapText="1"/>
    </xf>
    <xf numFmtId="0" fontId="0" fillId="0" borderId="0" xfId="0" pivotButton="1" applyAlignment="1">
      <alignment horizontal="center" vertical="center" wrapText="1"/>
    </xf>
    <xf numFmtId="0" fontId="8" fillId="17" borderId="1" xfId="0" applyFont="1" applyFill="1" applyBorder="1" applyAlignment="1">
      <alignment horizontal="center" vertical="center" wrapText="1"/>
    </xf>
    <xf numFmtId="0" fontId="9" fillId="17" borderId="0" xfId="2" applyNumberFormat="1" applyFont="1" applyFill="1" applyAlignment="1">
      <alignment horizontal="center" vertical="center"/>
    </xf>
    <xf numFmtId="165" fontId="8" fillId="10" borderId="0" xfId="0" applyNumberFormat="1" applyFont="1" applyFill="1" applyAlignment="1">
      <alignment horizontal="center" vertical="center"/>
    </xf>
    <xf numFmtId="0" fontId="6" fillId="3" borderId="1" xfId="0" applyFont="1" applyFill="1" applyBorder="1" applyAlignment="1">
      <alignment horizontal="left" vertical="top" wrapText="1"/>
    </xf>
    <xf numFmtId="0" fontId="6" fillId="2" borderId="1" xfId="0" applyFont="1" applyFill="1" applyBorder="1" applyAlignment="1">
      <alignment horizontal="left" vertical="top" wrapText="1"/>
    </xf>
    <xf numFmtId="0" fontId="12" fillId="4" borderId="1" xfId="0" quotePrefix="1" applyFont="1" applyFill="1" applyBorder="1" applyAlignment="1">
      <alignment horizontal="center" vertical="center"/>
    </xf>
    <xf numFmtId="0" fontId="8" fillId="4" borderId="1" xfId="0" applyFont="1" applyFill="1" applyBorder="1" applyAlignment="1">
      <alignment horizontal="center" vertical="center"/>
    </xf>
    <xf numFmtId="0" fontId="8" fillId="4" borderId="2" xfId="0" applyFont="1" applyFill="1" applyBorder="1" applyAlignment="1">
      <alignment horizontal="center" vertical="center" wrapText="1"/>
    </xf>
    <xf numFmtId="0" fontId="3" fillId="20" borderId="1" xfId="0" applyFont="1" applyFill="1" applyBorder="1" applyAlignment="1">
      <alignment horizontal="center" vertical="center"/>
    </xf>
    <xf numFmtId="0" fontId="0" fillId="20" borderId="1" xfId="0" applyFill="1" applyBorder="1" applyAlignment="1">
      <alignment horizontal="center" vertical="center"/>
    </xf>
    <xf numFmtId="0" fontId="0" fillId="20" borderId="1" xfId="0" applyFill="1" applyBorder="1" applyAlignment="1">
      <alignment horizontal="center" vertical="center" wrapText="1"/>
    </xf>
    <xf numFmtId="0" fontId="0" fillId="21" borderId="1" xfId="0" applyFill="1" applyBorder="1" applyAlignment="1">
      <alignment horizontal="center" vertical="center"/>
    </xf>
    <xf numFmtId="0" fontId="0" fillId="21" borderId="1" xfId="0" applyFill="1" applyBorder="1" applyAlignment="1">
      <alignment horizontal="center" vertical="center" wrapText="1"/>
    </xf>
    <xf numFmtId="3" fontId="9" fillId="8" borderId="1" xfId="0" applyNumberFormat="1" applyFont="1" applyFill="1" applyBorder="1" applyAlignment="1">
      <alignment horizontal="center" vertical="center"/>
    </xf>
    <xf numFmtId="1" fontId="9" fillId="8" borderId="1" xfId="0" applyNumberFormat="1" applyFont="1" applyFill="1" applyBorder="1" applyAlignment="1">
      <alignment horizontal="center" vertical="center"/>
    </xf>
    <xf numFmtId="4" fontId="9" fillId="8" borderId="1" xfId="0" applyNumberFormat="1" applyFont="1" applyFill="1" applyBorder="1" applyAlignment="1">
      <alignment horizontal="center" vertical="center"/>
    </xf>
    <xf numFmtId="9" fontId="9" fillId="8" borderId="1" xfId="2" applyFont="1" applyFill="1" applyBorder="1" applyAlignment="1">
      <alignment horizontal="center" vertical="center"/>
    </xf>
    <xf numFmtId="164" fontId="9" fillId="8" borderId="1" xfId="0" applyNumberFormat="1" applyFont="1" applyFill="1" applyBorder="1" applyAlignment="1">
      <alignment horizontal="center" vertical="center"/>
    </xf>
    <xf numFmtId="2" fontId="9" fillId="9" borderId="1" xfId="0" applyNumberFormat="1" applyFont="1" applyFill="1" applyBorder="1" applyAlignment="1">
      <alignment horizontal="center" vertical="center"/>
    </xf>
    <xf numFmtId="165" fontId="9" fillId="9" borderId="1" xfId="0" applyNumberFormat="1" applyFont="1" applyFill="1" applyBorder="1" applyAlignment="1">
      <alignment horizontal="center" vertical="center"/>
    </xf>
    <xf numFmtId="3" fontId="0" fillId="0" borderId="1" xfId="0" applyNumberFormat="1" applyBorder="1" applyAlignment="1">
      <alignment horizontal="center" vertical="center"/>
    </xf>
    <xf numFmtId="1" fontId="0" fillId="0" borderId="1" xfId="0" applyNumberFormat="1" applyBorder="1" applyAlignment="1">
      <alignment horizontal="center" vertical="center"/>
    </xf>
    <xf numFmtId="4" fontId="0" fillId="0" borderId="1" xfId="0" applyNumberFormat="1" applyBorder="1" applyAlignment="1">
      <alignment horizontal="center" vertical="center"/>
    </xf>
    <xf numFmtId="9" fontId="0" fillId="0" borderId="1" xfId="2" applyFont="1" applyFill="1" applyBorder="1" applyAlignment="1">
      <alignment horizontal="center" vertical="center"/>
    </xf>
    <xf numFmtId="164" fontId="0" fillId="0" borderId="1" xfId="0" applyNumberFormat="1" applyBorder="1" applyAlignment="1">
      <alignment horizontal="center" vertical="center"/>
    </xf>
    <xf numFmtId="165" fontId="0" fillId="0" borderId="1" xfId="0" applyNumberFormat="1" applyBorder="1" applyAlignment="1">
      <alignment horizontal="center" vertical="center"/>
    </xf>
    <xf numFmtId="2" fontId="0" fillId="0" borderId="1" xfId="0" applyNumberFormat="1" applyBorder="1" applyAlignment="1">
      <alignment horizontal="center" vertical="center"/>
    </xf>
    <xf numFmtId="2" fontId="9" fillId="9" borderId="1" xfId="0" applyNumberFormat="1" applyFont="1" applyFill="1" applyBorder="1" applyAlignment="1">
      <alignment horizontal="center" vertical="center" wrapText="1"/>
    </xf>
    <xf numFmtId="3" fontId="0" fillId="0" borderId="1" xfId="1" applyNumberFormat="1" applyFont="1" applyFill="1" applyBorder="1" applyAlignment="1">
      <alignment horizontal="center" vertical="center"/>
    </xf>
    <xf numFmtId="3" fontId="8" fillId="10" borderId="0" xfId="0" applyNumberFormat="1" applyFont="1" applyFill="1" applyAlignment="1">
      <alignment horizontal="center" vertical="center"/>
    </xf>
    <xf numFmtId="10" fontId="0" fillId="0" borderId="0" xfId="0" applyNumberFormat="1" applyAlignment="1">
      <alignment horizontal="center" vertical="center"/>
    </xf>
    <xf numFmtId="0" fontId="0" fillId="0" borderId="1" xfId="0" pivotButton="1" applyBorder="1" applyAlignment="1">
      <alignment horizontal="center" vertical="center"/>
    </xf>
    <xf numFmtId="0" fontId="4" fillId="4" borderId="1" xfId="0" applyFont="1" applyFill="1" applyBorder="1" applyAlignment="1">
      <alignment horizontal="center" vertical="center" wrapText="1"/>
    </xf>
    <xf numFmtId="0" fontId="4" fillId="23" borderId="1" xfId="0" applyFont="1" applyFill="1" applyBorder="1" applyAlignment="1">
      <alignment horizontal="center" vertical="center" wrapText="1"/>
    </xf>
    <xf numFmtId="0" fontId="13" fillId="18" borderId="1" xfId="0" applyFont="1" applyFill="1" applyBorder="1" applyAlignment="1">
      <alignment horizontal="center" vertical="center" wrapText="1"/>
    </xf>
    <xf numFmtId="10" fontId="13" fillId="24" borderId="1" xfId="0" applyNumberFormat="1" applyFont="1" applyFill="1" applyBorder="1" applyAlignment="1">
      <alignment horizontal="center" vertical="center" wrapText="1"/>
    </xf>
    <xf numFmtId="0" fontId="4" fillId="15" borderId="1" xfId="0" applyFont="1" applyFill="1" applyBorder="1" applyAlignment="1">
      <alignment horizontal="center" vertical="center" wrapText="1"/>
    </xf>
    <xf numFmtId="0" fontId="13" fillId="25" borderId="1" xfId="0" applyFont="1" applyFill="1" applyBorder="1" applyAlignment="1">
      <alignment horizontal="center" vertical="center" wrapText="1"/>
    </xf>
    <xf numFmtId="0" fontId="5" fillId="0" borderId="3" xfId="0" applyFont="1" applyBorder="1" applyAlignment="1">
      <alignment horizontal="center" vertical="center" wrapText="1"/>
    </xf>
    <xf numFmtId="0" fontId="5" fillId="0" borderId="4" xfId="0" applyFont="1" applyBorder="1" applyAlignment="1">
      <alignment horizontal="center" vertical="center" wrapText="1"/>
    </xf>
    <xf numFmtId="0" fontId="5" fillId="0" borderId="5" xfId="0" applyFont="1" applyBorder="1" applyAlignment="1">
      <alignment horizontal="center" vertical="center" wrapText="1"/>
    </xf>
    <xf numFmtId="0" fontId="5" fillId="2" borderId="6" xfId="0" applyFont="1" applyFill="1" applyBorder="1" applyAlignment="1">
      <alignment horizontal="center" vertical="center" wrapText="1"/>
    </xf>
    <xf numFmtId="0" fontId="5" fillId="2" borderId="0" xfId="0" applyFont="1" applyFill="1" applyAlignment="1">
      <alignment horizontal="center" vertical="center" wrapText="1"/>
    </xf>
    <xf numFmtId="0" fontId="5" fillId="2" borderId="7" xfId="0" applyFont="1" applyFill="1" applyBorder="1" applyAlignment="1">
      <alignment horizontal="center" vertical="center" wrapText="1"/>
    </xf>
    <xf numFmtId="0" fontId="6" fillId="2" borderId="6" xfId="0" applyFont="1" applyFill="1" applyBorder="1" applyAlignment="1">
      <alignment horizontal="center" vertical="center" wrapText="1"/>
    </xf>
    <xf numFmtId="0" fontId="6" fillId="2" borderId="0" xfId="0" applyFont="1" applyFill="1" applyAlignment="1">
      <alignment horizontal="center" vertical="center" wrapText="1"/>
    </xf>
    <xf numFmtId="0" fontId="6" fillId="2" borderId="7" xfId="0" applyFont="1" applyFill="1" applyBorder="1" applyAlignment="1">
      <alignment horizontal="center" vertical="center" wrapText="1"/>
    </xf>
    <xf numFmtId="0" fontId="6" fillId="2" borderId="8" xfId="0" applyFont="1" applyFill="1" applyBorder="1" applyAlignment="1">
      <alignment horizontal="center" vertical="center" wrapText="1"/>
    </xf>
    <xf numFmtId="0" fontId="6" fillId="2" borderId="9" xfId="0" applyFont="1" applyFill="1" applyBorder="1" applyAlignment="1">
      <alignment horizontal="center" vertical="center" wrapText="1"/>
    </xf>
    <xf numFmtId="0" fontId="6" fillId="2" borderId="10" xfId="0" applyFont="1" applyFill="1" applyBorder="1" applyAlignment="1">
      <alignment horizontal="center" vertical="center" wrapText="1"/>
    </xf>
    <xf numFmtId="0" fontId="2" fillId="22" borderId="1" xfId="0" applyFont="1" applyFill="1" applyBorder="1" applyAlignment="1">
      <alignment horizontal="center" vertical="center" wrapText="1"/>
    </xf>
    <xf numFmtId="0" fontId="0" fillId="0" borderId="0" xfId="0" applyNumberFormat="1" applyAlignment="1">
      <alignment horizontal="center" vertical="center"/>
    </xf>
    <xf numFmtId="2" fontId="8" fillId="26" borderId="0" xfId="0" applyNumberFormat="1" applyFont="1" applyFill="1" applyAlignment="1">
      <alignment horizontal="center" vertical="center"/>
    </xf>
    <xf numFmtId="1" fontId="9" fillId="15" borderId="1" xfId="0" applyNumberFormat="1" applyFont="1" applyFill="1" applyBorder="1" applyAlignment="1">
      <alignment horizontal="center" vertical="center"/>
    </xf>
    <xf numFmtId="165" fontId="8" fillId="26" borderId="0" xfId="0" applyNumberFormat="1" applyFont="1" applyFill="1" applyAlignment="1">
      <alignment horizontal="center" vertical="center"/>
    </xf>
    <xf numFmtId="0" fontId="3" fillId="0" borderId="1" xfId="0" applyFont="1" applyBorder="1" applyAlignment="1">
      <alignment horizontal="center" vertical="center"/>
    </xf>
    <xf numFmtId="2" fontId="9" fillId="15" borderId="1" xfId="0" applyNumberFormat="1" applyFont="1" applyFill="1" applyBorder="1" applyAlignment="1">
      <alignment horizontal="center" vertical="center"/>
    </xf>
    <xf numFmtId="2" fontId="3" fillId="0" borderId="1" xfId="0" applyNumberFormat="1" applyFont="1" applyBorder="1" applyAlignment="1">
      <alignment horizontal="center" vertical="center"/>
    </xf>
    <xf numFmtId="2" fontId="0" fillId="0" borderId="0" xfId="0" applyNumberFormat="1"/>
  </cellXfs>
  <cellStyles count="3">
    <cellStyle name="Comma" xfId="1" builtinId="3"/>
    <cellStyle name="Normal" xfId="0" builtinId="0"/>
    <cellStyle name="Percent" xfId="2" builtinId="5"/>
  </cellStyles>
  <dxfs count="183">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wrapText="1"/>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alignment horizontal="center"/>
    </dxf>
    <dxf>
      <alignment vertical="center"/>
    </dxf>
    <dxf>
      <alignment wrapText="1"/>
    </dxf>
    <dxf>
      <alignment wrapText="1"/>
    </dxf>
    <dxf>
      <alignment wrapText="1"/>
    </dxf>
    <dxf>
      <fill>
        <patternFill>
          <bgColor theme="8" tint="-0.249977111117893"/>
        </patternFill>
      </fill>
    </dxf>
    <dxf>
      <font>
        <color theme="0"/>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rgb="FF92D050"/>
        </patternFill>
      </fill>
    </dxf>
    <dxf>
      <font>
        <color auto="1"/>
      </font>
      <fill>
        <patternFill>
          <fgColor theme="8" tint="0.39997558519241921"/>
        </patternFill>
      </fill>
    </dxf>
    <dxf>
      <font>
        <color auto="1"/>
      </font>
      <fill>
        <patternFill>
          <fgColor theme="8" tint="0.39997558519241921"/>
        </patternFill>
      </fill>
    </dxf>
    <dxf>
      <font>
        <color auto="1"/>
      </font>
    </dxf>
    <dxf>
      <fill>
        <patternFill>
          <bgColor theme="8" tint="0.39997558519241921"/>
        </patternFill>
      </fill>
    </dxf>
    <dxf>
      <font>
        <color auto="1"/>
      </font>
    </dxf>
    <dxf>
      <font>
        <color auto="1"/>
      </font>
    </dxf>
    <dxf>
      <numFmt numFmtId="14" formatCode="0.00%"/>
      <fill>
        <patternFill>
          <fgColor rgb="FFFFC000"/>
        </patternFill>
      </fill>
    </dxf>
    <dxf>
      <numFmt numFmtId="14" formatCode="0.00%"/>
      <fill>
        <patternFill>
          <fgColor rgb="FFFFC000"/>
        </patternFill>
      </fill>
    </dxf>
    <dxf>
      <fill>
        <patternFill patternType="solid">
          <bgColor rgb="FFFFC000"/>
        </patternFill>
      </fill>
    </dxf>
    <dxf>
      <fill>
        <patternFill>
          <bgColor theme="5" tint="-0.249977111117893"/>
        </patternFill>
      </fill>
    </dxf>
    <dxf>
      <fill>
        <patternFill>
          <bgColor theme="5" tint="-0.249977111117893"/>
        </patternFill>
      </fill>
    </dxf>
    <dxf>
      <font>
        <color theme="0"/>
      </font>
    </dxf>
    <dxf>
      <fill>
        <patternFill patternType="solid">
          <bgColor theme="5" tint="0.39997558519241921"/>
        </patternFill>
      </fill>
    </dxf>
    <dxf>
      <fill>
        <patternFill patternType="solid">
          <bgColor theme="5" tint="0.39997558519241921"/>
        </patternFill>
      </fill>
    </dxf>
    <dxf>
      <fill>
        <patternFill patternType="solid">
          <bgColor theme="8" tint="-0.249977111117893"/>
        </patternFill>
      </fill>
    </dxf>
    <dxf>
      <fill>
        <patternFill patternType="solid">
          <bgColor theme="8" tint="-0.249977111117893"/>
        </patternFill>
      </fill>
    </dxf>
    <dxf>
      <fill>
        <patternFill patternType="solid">
          <bgColor theme="8" tint="-0.249977111117893"/>
        </patternFill>
      </fill>
    </dxf>
    <dxf>
      <font>
        <color theme="0"/>
      </font>
    </dxf>
    <dxf>
      <fill>
        <patternFill>
          <bgColor theme="9" tint="-0.249977111117893"/>
        </patternFill>
      </fill>
    </dxf>
    <dxf>
      <fill>
        <patternFill>
          <bgColor theme="9" tint="-0.249977111117893"/>
        </patternFill>
      </fill>
    </dxf>
    <dxf>
      <fill>
        <patternFill>
          <bgColor theme="9" tint="-0.249977111117893"/>
        </patternFill>
      </fill>
    </dxf>
    <dxf>
      <fill>
        <patternFill patternType="solid">
          <bgColor theme="6" tint="0.39997558519241921"/>
        </patternFill>
      </fill>
    </dxf>
    <dxf>
      <fill>
        <patternFill patternType="solid">
          <bgColor theme="6" tint="0.39997558519241921"/>
        </patternFill>
      </fill>
    </dxf>
    <dxf>
      <fill>
        <patternFill patternType="solid">
          <bgColor theme="6" tint="0.39997558519241921"/>
        </patternFill>
      </fill>
    </dxf>
    <dxf>
      <fill>
        <patternFill patternType="solid">
          <bgColor theme="3" tint="0.499984740745262"/>
        </patternFill>
      </fill>
    </dxf>
    <dxf>
      <fill>
        <patternFill patternType="solid">
          <bgColor theme="3" tint="0.499984740745262"/>
        </patternFill>
      </fill>
    </dxf>
    <dxf>
      <numFmt numFmtId="14" formatCode="0.00%"/>
    </dxf>
    <dxf>
      <numFmt numFmtId="3" formatCode="#,##0"/>
    </dxf>
    <dxf>
      <numFmt numFmtId="3" formatCode="#,##0"/>
    </dxf>
    <dxf>
      <numFmt numFmtId="14" formatCode="0.00%"/>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wrapText="1"/>
    </dxf>
    <dxf>
      <numFmt numFmtId="14" formatCode="0.00%"/>
    </dxf>
    <dxf>
      <numFmt numFmtId="14" formatCode="0.00%"/>
    </dxf>
    <dxf>
      <numFmt numFmtId="14" formatCode="0.00%"/>
    </dxf>
    <dxf>
      <alignment vertical="center"/>
    </dxf>
    <dxf>
      <alignment vertical="center"/>
    </dxf>
    <dxf>
      <alignment vertical="center"/>
    </dxf>
    <dxf>
      <alignment horizontal="center"/>
    </dxf>
    <dxf>
      <alignment horizontal="center"/>
    </dxf>
    <dxf>
      <alignment horizontal="center"/>
    </dxf>
    <dxf>
      <alignment wrapText="1"/>
    </dxf>
    <dxf>
      <alignment wrapText="1"/>
    </dxf>
    <dxf>
      <numFmt numFmtId="3" formatCode="#,##0"/>
    </dxf>
    <dxf>
      <numFmt numFmtId="3" formatCode="#,##0"/>
    </dxf>
    <dxf>
      <alignment wrapText="1"/>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numFmt numFmtId="3" formatCode="#,##0"/>
    </dxf>
    <dxf>
      <numFmt numFmtId="3" formatCode="#,##0"/>
    </dxf>
    <dxf>
      <alignment wrapText="1"/>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wrapText="1"/>
    </dxf>
    <dxf>
      <alignment wrapText="1"/>
    </dxf>
    <dxf>
      <numFmt numFmtId="3" formatCode="#,##0"/>
    </dxf>
    <dxf>
      <numFmt numFmtId="3" formatCode="#,##0"/>
    </dxf>
    <dxf>
      <alignment wrapText="1"/>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wrapText="1"/>
    </dxf>
    <dxf>
      <alignment wrapText="1"/>
    </dxf>
    <dxf>
      <numFmt numFmtId="3" formatCode="#,##0"/>
    </dxf>
    <dxf>
      <numFmt numFmtId="3" formatCode="#,##0"/>
    </dxf>
    <dxf>
      <alignment wrapText="1"/>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wrapText="1"/>
    </dxf>
    <dxf>
      <alignment wrapText="1"/>
    </dxf>
    <dxf>
      <numFmt numFmtId="3" formatCode="#,##0"/>
    </dxf>
    <dxf>
      <numFmt numFmtId="3" formatCode="#,##0"/>
    </dxf>
    <dxf>
      <alignment wrapText="1"/>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wrapText="1"/>
    </dxf>
    <dxf>
      <alignment wrapText="1"/>
    </dxf>
    <dxf>
      <numFmt numFmtId="3" formatCode="#,##0"/>
    </dxf>
    <dxf>
      <numFmt numFmtId="3" formatCode="#,##0"/>
    </dxf>
    <dxf>
      <alignment wrapText="1"/>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s>
  <tableStyles count="0" defaultTableStyle="TableStyleMedium2" defaultPivotStyle="PivotStyleLight16"/>
  <colors>
    <mruColors>
      <color rgb="FF57A6A1"/>
      <color rgb="FF9966FF"/>
      <color rgb="FF0033CC"/>
      <color rgb="FF6666FF"/>
      <color rgb="FF0099FF"/>
      <color rgb="FF3366FF"/>
      <color rgb="FF6699FF"/>
      <color rgb="FF00FFFF"/>
      <color rgb="FF00CCFF"/>
      <color rgb="FF2407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4.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pivotCacheDefinition" Target="pivotCache/pivotCacheDefinition3.xml"/><Relationship Id="rId17" Type="http://schemas.openxmlformats.org/officeDocument/2006/relationships/pivotCacheDefinition" Target="pivotCache/pivotCacheDefinition8.xml"/><Relationship Id="rId2" Type="http://schemas.openxmlformats.org/officeDocument/2006/relationships/worksheet" Target="worksheets/sheet2.xml"/><Relationship Id="rId16" Type="http://schemas.openxmlformats.org/officeDocument/2006/relationships/pivotCacheDefinition" Target="pivotCache/pivotCacheDefinition7.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5" Type="http://schemas.openxmlformats.org/officeDocument/2006/relationships/worksheet" Target="worksheets/sheet5.xml"/><Relationship Id="rId15" Type="http://schemas.openxmlformats.org/officeDocument/2006/relationships/pivotCacheDefinition" Target="pivotCache/pivotCacheDefinition6.xml"/><Relationship Id="rId10" Type="http://schemas.openxmlformats.org/officeDocument/2006/relationships/pivotCacheDefinition" Target="pivotCache/pivotCacheDefinition1.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5.xml"/><Relationship Id="rId22"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3</xdr:col>
      <xdr:colOff>79739</xdr:colOff>
      <xdr:row>13</xdr:row>
      <xdr:rowOff>37011</xdr:rowOff>
    </xdr:from>
    <xdr:to>
      <xdr:col>4</xdr:col>
      <xdr:colOff>544286</xdr:colOff>
      <xdr:row>14</xdr:row>
      <xdr:rowOff>762000</xdr:rowOff>
    </xdr:to>
    <xdr:sp macro="" textlink="">
      <xdr:nvSpPr>
        <xdr:cNvPr id="2" name="Arrow: Right 1">
          <a:extLst>
            <a:ext uri="{FF2B5EF4-FFF2-40B4-BE49-F238E27FC236}">
              <a16:creationId xmlns:a16="http://schemas.microsoft.com/office/drawing/2014/main" id="{18F579DA-B6E4-6F94-F0C9-A1ACAAF80D97}"/>
            </a:ext>
          </a:extLst>
        </xdr:cNvPr>
        <xdr:cNvSpPr/>
      </xdr:nvSpPr>
      <xdr:spPr>
        <a:xfrm>
          <a:off x="10407560" y="10215154"/>
          <a:ext cx="1076869" cy="1636667"/>
        </a:xfrm>
        <a:prstGeom prst="rightArrow">
          <a:avLst/>
        </a:prstGeom>
        <a:solidFill>
          <a:schemeClr val="accent1">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173083</xdr:colOff>
      <xdr:row>1</xdr:row>
      <xdr:rowOff>106952</xdr:rowOff>
    </xdr:from>
    <xdr:to>
      <xdr:col>9</xdr:col>
      <xdr:colOff>979714</xdr:colOff>
      <xdr:row>1</xdr:row>
      <xdr:rowOff>695869</xdr:rowOff>
    </xdr:to>
    <xdr:sp macro="[0]!A00_Steps_from_S01_to_S11_with_Options" textlink="">
      <xdr:nvSpPr>
        <xdr:cNvPr id="3" name="Rectangle: Rounded Corners 2">
          <a:extLst>
            <a:ext uri="{FF2B5EF4-FFF2-40B4-BE49-F238E27FC236}">
              <a16:creationId xmlns:a16="http://schemas.microsoft.com/office/drawing/2014/main" id="{A823F84E-9ECC-B3DA-CD8C-51DFB00C95A0}"/>
            </a:ext>
          </a:extLst>
        </xdr:cNvPr>
        <xdr:cNvSpPr/>
      </xdr:nvSpPr>
      <xdr:spPr>
        <a:xfrm>
          <a:off x="15712440" y="351881"/>
          <a:ext cx="1895203" cy="588917"/>
        </a:xfrm>
        <a:prstGeom prst="roundRect">
          <a:avLst/>
        </a:prstGeom>
        <a:solidFill>
          <a:srgbClr val="0070C0"/>
        </a:solidFill>
        <a:ln>
          <a:solidFill>
            <a:srgbClr val="6666FF"/>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1">
              <a:solidFill>
                <a:schemeClr val="bg1">
                  <a:lumMod val="95000"/>
                </a:schemeClr>
              </a:solidFill>
            </a:rPr>
            <a:t>RUN MAIN MACRO</a:t>
          </a:r>
          <a:endParaRPr lang="es-MX" sz="1400" b="1">
            <a:solidFill>
              <a:schemeClr val="bg1">
                <a:lumMod val="95000"/>
              </a:schemeClr>
            </a:solidFill>
          </a:endParaRPr>
        </a:p>
      </xdr:txBody>
    </xdr:sp>
    <xdr:clientData/>
  </xdr:twoCellAnchor>
  <xdr:twoCellAnchor>
    <xdr:from>
      <xdr:col>8</xdr:col>
      <xdr:colOff>190500</xdr:colOff>
      <xdr:row>2</xdr:row>
      <xdr:rowOff>136071</xdr:rowOff>
    </xdr:from>
    <xdr:to>
      <xdr:col>9</xdr:col>
      <xdr:colOff>993321</xdr:colOff>
      <xdr:row>2</xdr:row>
      <xdr:rowOff>732608</xdr:rowOff>
    </xdr:to>
    <xdr:sp macro="[0]!S99_Reset_ExcelMacro" textlink="">
      <xdr:nvSpPr>
        <xdr:cNvPr id="4" name="Rectangle: Rounded Corners 3">
          <a:extLst>
            <a:ext uri="{FF2B5EF4-FFF2-40B4-BE49-F238E27FC236}">
              <a16:creationId xmlns:a16="http://schemas.microsoft.com/office/drawing/2014/main" id="{55D1DBE7-D449-47B0-BC4E-48C9C6387F40}"/>
            </a:ext>
          </a:extLst>
        </xdr:cNvPr>
        <xdr:cNvSpPr/>
      </xdr:nvSpPr>
      <xdr:spPr>
        <a:xfrm>
          <a:off x="15729857" y="1197428"/>
          <a:ext cx="1891393" cy="596537"/>
        </a:xfrm>
        <a:prstGeom prst="roundRect">
          <a:avLst/>
        </a:prstGeom>
        <a:solidFill>
          <a:srgbClr val="FFC000"/>
        </a:solidFill>
        <a:ln>
          <a:solidFill>
            <a:schemeClr val="accent2"/>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1">
              <a:solidFill>
                <a:sysClr val="windowText" lastClr="000000"/>
              </a:solidFill>
            </a:rPr>
            <a:t>RESET MACRO</a:t>
          </a:r>
          <a:endParaRPr lang="es-MX" sz="1400" b="1">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134982</xdr:colOff>
      <xdr:row>1</xdr:row>
      <xdr:rowOff>58783</xdr:rowOff>
    </xdr:from>
    <xdr:to>
      <xdr:col>10</xdr:col>
      <xdr:colOff>239486</xdr:colOff>
      <xdr:row>4</xdr:row>
      <xdr:rowOff>97973</xdr:rowOff>
    </xdr:to>
    <xdr:sp macro="[0]!S10_Options" textlink="">
      <xdr:nvSpPr>
        <xdr:cNvPr id="2" name="Rectangle: Rounded Corners 1">
          <a:extLst>
            <a:ext uri="{FF2B5EF4-FFF2-40B4-BE49-F238E27FC236}">
              <a16:creationId xmlns:a16="http://schemas.microsoft.com/office/drawing/2014/main" id="{3BCC06A5-5D41-4DEE-B044-D5347405FD8B}"/>
            </a:ext>
          </a:extLst>
        </xdr:cNvPr>
        <xdr:cNvSpPr/>
      </xdr:nvSpPr>
      <xdr:spPr>
        <a:xfrm>
          <a:off x="4881153" y="287383"/>
          <a:ext cx="3152504" cy="594361"/>
        </a:xfrm>
        <a:prstGeom prst="roundRect">
          <a:avLst/>
        </a:prstGeom>
        <a:solidFill>
          <a:schemeClr val="accent3">
            <a:lumMod val="75000"/>
          </a:schemeClr>
        </a:solidFill>
        <a:ln>
          <a:solidFill>
            <a:srgbClr val="57A6A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1">
              <a:solidFill>
                <a:schemeClr val="bg1">
                  <a:lumMod val="95000"/>
                </a:schemeClr>
              </a:solidFill>
            </a:rPr>
            <a:t>CHANGE</a:t>
          </a:r>
          <a:r>
            <a:rPr lang="es-MX" sz="1600" b="1" baseline="0">
              <a:solidFill>
                <a:schemeClr val="bg1">
                  <a:lumMod val="95000"/>
                </a:schemeClr>
              </a:solidFill>
            </a:rPr>
            <a:t> ADJUSTMENT OPTION</a:t>
          </a:r>
          <a:endParaRPr lang="es-MX" sz="1400" b="1">
            <a:solidFill>
              <a:schemeClr val="bg1">
                <a:lumMod val="95000"/>
              </a:schemeClr>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elayo, Sergio" refreshedDate="45639.71803877315" createdVersion="3" refreshedVersion="8" minRefreshableVersion="3" recordCount="168" xr:uid="{52D73ED0-31E3-491E-9BC2-8F2C8C2EC243}">
  <cacheSource type="worksheet">
    <worksheetSource ref="A1:BC169" sheet="CellAdj"/>
  </cacheSource>
  <cacheFields count="55">
    <cacheField name="INDEX" numFmtId="49">
      <sharedItems containsNonDate="0" containsString="0" containsBlank="1"/>
    </cacheField>
    <cacheField name="CHANNEL" numFmtId="49">
      <sharedItems containsNonDate="0" containsString="0" containsBlank="1"/>
    </cacheField>
    <cacheField name="SAMPLE" numFmtId="1">
      <sharedItems containsNonDate="0" containsString="0" containsBlank="1"/>
    </cacheField>
    <cacheField name="IBD_ID" numFmtId="1">
      <sharedItems containsNonDate="0" containsString="0" containsBlank="1"/>
    </cacheField>
    <cacheField name="IBD_Name" numFmtId="49">
      <sharedItems containsNonDate="0" containsString="0" containsBlank="1"/>
    </cacheField>
    <cacheField name="Cell_ID" numFmtId="1">
      <sharedItems containsNonDate="0" containsString="0" containsBlank="1"/>
    </cacheField>
    <cacheField name="Cell_Name" numFmtId="49">
      <sharedItems containsNonDate="0" containsBlank="1" count="169">
        <m/>
        <s v="75_TAPACHULA-1,2,3,4-'PA' , 'PF'" u="1"/>
        <s v="79_CELAYA-5-'RR' , 'RF' , 'RB'" u="1"/>
        <s v="39_MONCLOVA-1,2,3,4,5-'RR' , 'RF' , 'RB'" u="1"/>
        <s v="130_OAXACA-5-'PA' , 'PF'" u="1"/>
        <s v="153_MINATITLAN-1,2,3,4,5-'RR' , 'RF' , 'RB'" u="1"/>
        <s v="17_AGUASCALIENTES-1,2,3,4,5-'RR' , 'RF' , 'RB'" u="1"/>
        <s v="134_PUEBLA LOCAL-1,2,3,4,5-'PA' , 'PF'" u="1"/>
        <s v="170_FRESNO-1,2,3,4,5-'PA' , 'PF'" u="1"/>
        <s v="158_CUAUTLA-1,2,3,4,5-'PA' , 'PF'" u="1"/>
        <s v="137_QUERETARO LOCAL-1,2,5-'PA' , 'PF'" u="1"/>
        <s v="41_MONTERREY-1,2,3,4,5-'RR' , 'RF' , 'RB'" u="1"/>
        <s v="43_CD JUAREZ-1,2,3,4,5-'PA' , 'PF'" u="1"/>
        <s v="116_ZARAGOZA-5-'PA' , 'PF'" u="1"/>
        <s v="61_MERIDA LOCAL-MERIDA FORANEO-GOLFO-1,2,3,4,5-'PA' , 'PF'" u="1"/>
        <s v="73_SAN CRISTOBAL-TUXTLA-1,2,3,4,5-'PA' , 'PF'" u="1"/>
        <s v="40_MONTERREY-1,2,3,4,5-'PA' , 'PF'" u="1"/>
        <s v="122_CUAUTITLAN-1,2,5-'PA' , 'PF'" u="1"/>
        <s v="111_MIXCOAC-1,2,5-'RR' , 'RF' , 'RB'" u="1"/>
        <s v="18_DURANGO-1,2,3,4,5-'PA' , 'PF'" u="1"/>
        <s v="98_ALTAMIRA-3,4,5-'RR' , 'RF' , 'RB'" u="1"/>
        <s v="69_TIJUANA-5-'RR' , 'RF' , 'RB'" u="1"/>
        <s v="124_TEXCOCO-1,2,5-'PA' , 'PF'" u="1"/>
        <s v="143_ORIZABA-1,2,3,4,5-'PA' , 'PF'" u="1"/>
        <s v="30_REYNOSA-1,2,3,4,5-'RR' , 'RF' , 'RB'" u="1"/>
        <s v="155_IXTACOMITAN-1,2,3,4,5-'RR' , 'RF' , 'RB'" u="1"/>
        <s v="24_ZACATECAS-1,2,3,4,5-'RR' , 'RF' , 'RB'" u="1"/>
        <s v="15_MAZATLAN-1,2,3,4,5-'RR' , 'RF' , 'RB'" u="1"/>
        <s v="72_COSTA OAXACA-1,2,3,4-'RR' , 'RF' , 'RB'" u="1"/>
        <s v="53_CAMPECHE-1,2,3,4-'PA' , 'PF'" u="1"/>
        <s v="1_CD OBREGON-1,2,3,4,5-'PA' , 'PF'" u="1"/>
        <s v="66_CD CUAUHTEMOC-1,2,3,4-'RR' , 'RF' , 'RB'" u="1"/>
        <s v="133_OAXACA-1,2,3,4-'RR' , 'RF' , 'RB'" u="1"/>
        <s v="160_PACHUCA-1,2,3,4,5-'PA' , 'PF'" u="1"/>
        <s v="12_LA PAZ-1,2,3,4-'PA' , 'PF'" u="1"/>
        <s v="23_ZACATECAS-1,2,3,4,5-'PA' , 'PF'" u="1"/>
        <s v="129_PUEBLA FORANEAS-1,2,3,4,5-'RR' , 'RF' , 'RB'" u="1"/>
        <s v="29_NUEVO LAREDO-1,2,3,4,5-'RR' , 'RF' , 'RB'" u="1"/>
        <s v="60_CHETUMAL-1,2,3,4-'RR' , 'RF' , 'RB'" u="1"/>
        <s v="171_FRESNO-1,2,3,4,5-'RR' , 'RF' , 'RB'" u="1"/>
        <s v="65_CD CUAUHTEMOC-MOCHIS-1,2,3,4,5-'PA' , 'PF'" u="1"/>
        <s v="70_TIJUANA-1,2,3,4-'RR' , 'RF' , 'RB'" u="1"/>
        <s v="120_TOLUCA-1,2,3,4,5-'PA' , 'PF'" u="1"/>
        <s v="138_QUERETARO LOCAL-1,2,5-'RR' , 'RF' , 'RB'" u="1"/>
        <s v="99_ALTAMIRA-1,2-'RR' , 'RF' , 'RB'" u="1"/>
        <s v="147_VERACRUZ LOCAL-1,2,5-'RR' , 'RF' , 'RB'" u="1"/>
        <s v="3_CD OBREGON-1,2,3,4-'RR' , 'RF' , 'RB'" u="1"/>
        <s v="161_PACHUCA-1,2,3,4,5-'RR' , 'RF' , 'RB'" u="1"/>
        <s v="45_CD JUAREZ-1,2,3,4-'RR' , 'RF' , 'RB'" u="1"/>
        <s v="166_COLIMA-1,2,3,4,5-'PA' , 'PF'" u="1"/>
        <s v="8_MEXICALI-1,2,3,4-'RR' , 'RF' , 'RB'" u="1"/>
        <s v="21_SAN LUIS POTOSI-1,2,3,4,5-'PA' , 'PF'" u="1"/>
        <s v="76_TAPACHULA-1,2,3,4-'RR' , 'RF' , 'RB'" u="1"/>
        <s v="89_MONTA?-1,2,3,4-'RR' , 'RF' , 'RB'" u="1"/>
        <s v="95_ZAMORA-1,2,3,4-'PA' , 'PF'" u="1"/>
        <s v="25_MATAMOROS-1,2,3,4,5-'PA' , 'PF'" u="1"/>
        <s v="81_IRAPUATO-1,2,3,4,5-'PA' , 'PF'" u="1"/>
        <s v="90_MORELIA-1,2,3,4,5-'PA' , 'PF'" u="1"/>
        <s v="87_COSTAS-1,2,3,4,5-'RR' , 'RF' , 'RB'" u="1"/>
        <s v="100_POZA RICA-1,2,3,4,5-'PA' , 'PF'" u="1"/>
        <s v="144_ORIZABA-5-'RR' , 'RF' , 'RB'" u="1"/>
        <s v="37_PIEDRAS NEGRAS-1,2,3,4-'RR' , 'RF' , 'RB'" u="1"/>
        <s v="51_DELICIAS-PARRAL-1,2,3,4-'PA' , 'PF'" u="1"/>
        <s v="78_CELAYA-1,2,3,4-'PA' , 'PF'" u="1"/>
        <s v="86_COSTAS-1,2,3,4,5-'PA' , 'PF'" u="1"/>
        <s v="107_CHALCO-1,2,5-'RR' , 'RF' , 'RB'" u="1"/>
        <s v="91,92_MORELIA-1,2,3,4,5-'RR' , 'RF' , 'RB'" u="1"/>
        <s v="2_CD OBREGON-5-'RR' , 'RF' , 'RB'" u="1"/>
        <s v="47_CHIHUAHUA-1,2,3,4,5-'RR' , 'RF' , 'RB'" u="1"/>
        <s v="102_POZA RICA-1,2,3,4-'RR' , 'RF' , 'RB'" u="1"/>
        <s v="123_CUAUTITLAN-1,2,5-'RR' , 'RF' , 'RB'" u="1"/>
        <s v="94_URUAPAN-1,2,3,4,5-'RR' , 'RF' , 'RB'" u="1"/>
        <s v="58_CANCUN-1,2,3,4,5-'RR' , 'RF' , 'RB'" u="1"/>
        <s v="67_MOCHIS-1,2,3,4,5-'RR' , 'RF' , 'RB'" u="1"/>
        <s v="10_CULIACAN-5-'RR' , 'RF' , 'RB'" u="1"/>
        <s v="44_CD JUAREZ-5-'RR' , 'RF' , 'RB'" u="1"/>
        <s v="167_COLIMA-5-'RR' , 'RF' , 'RB'" u="1"/>
        <s v="135_PUEBLA LOCAL-5-'RR' , 'RF' , 'RB'" u="1"/>
        <s v="16_AGUASCALIENTES-1,2,3,4,5-'PA' , 'PF'" u="1"/>
        <s v="38_MONCLOVA-SALTILLO-1,2,3,4,5-'PA' , 'PF'" u="1"/>
        <s v="141_ESTADO DE MEXICO-1,2,3,4,5-'PA' , 'PF'" u="1"/>
        <s v="162_PUERTO VALLARTA Y BB-1,2,5-'PA' , 'PF'" u="1"/>
        <s v="22_SAN LUIS POTOSI-1,2,3,4,5-'RR' , 'RF' , 'RB'" u="1"/>
        <s v="85_LEON-1,2,3,4-'RR' , 'RF' , 'RB'" u="1"/>
        <s v="103_CIUDAD VICTORIA-1,2,3,4,5-'PA' , 'PF'" u="1"/>
        <s v="112_REYES-1,2,5-'PA' , 'PF'" u="1"/>
        <s v="80_CELAYA-1,2,3,4-'RR' , 'RF' , 'RB'" u="1"/>
        <s v="63_MERIDA FORANEO-CARIBE-1,2,3,4,5-'RR' , 'RF' , 'RB'" u="1"/>
        <s v="4_HERMOSILLO-1,2,3,4,5-'PA' , 'PF'" u="1"/>
        <s v="20_DURANGO-1,2,3,4-'RR' , 'RF' , 'RB'" u="1"/>
        <s v="36_TECOMAN-1,2,3,4-'RR' , 'RF' , 'RB'" u="1"/>
        <s v="96_ZAMORA-1,2,3,4-'RR' , 'RF' , 'RB'" u="1"/>
        <s v="71_COSTA OAXACA-1,2,3,4-'PA' , 'PF'" u="1"/>
        <s v="57_CANCUN-1,2,3,4,5-'PA' , 'PF'" u="1"/>
        <s v="83_LEON-1,2,3,4,5-'PA' , 'PF'" u="1"/>
        <s v="62_MERIDA LOCAL-1,2,5-'RR' , 'RF' , 'RB'" u="1"/>
        <s v="93_URUAPAN-1,2,3,4,5-'PA' , 'PF'" u="1"/>
        <s v="165_TEPIC-1,2,3,4,5-'RR' , 'RF' , 'RB'" u="1"/>
        <s v="14_MAZATLAN-1,2,3,4,5-'PA' , 'PF'" u="1"/>
        <s v="169_MERIDA FORANEO-CARIBE-1,2,3,4,5-'PA' , 'PF'" u="1"/>
        <s v="101_POZA RICA-5-'RR' , 'RF' , 'RB'" u="1"/>
        <s v="110_MIXCOAC-1,2,5-'PA' , 'PF'" u="1"/>
        <s v="55_CD DEL CARMEN-1,2,3,4-'PA' , 'PF'" u="1"/>
        <s v="7_MEXICALI-5-'RR' , 'RF' , 'RB'" u="1"/>
        <s v="6_MEXICALI-1,2,3,4,5-'PA' , 'PF'" u="1"/>
        <s v="35_TECOMAN-1,2,3,4-'PA' , 'PF'" u="1"/>
        <s v="151_XALAPA-1,2,3,4,5-'RR' , 'RF' , 'RB'" u="1"/>
        <s v="28_NUEVO LAREDO-PIEDRAS NEGRAS-REYNOSA-1,2,3,4,5-'PA' , 'PF'" u="1"/>
        <s v="159_CUAUTLA-1,2,3,4,5-'RR' , 'RF' , 'RB'" u="1"/>
        <s v="154_IXTACOMITAN-1,2,3,4,5-'PA' , 'PF'" u="1"/>
        <s v="74_SAN CRISTOBAL-TUXTLA-1,2,3,4,5-'RR' , 'RF' , 'RB'" u="1"/>
        <s v="119_COACALCO-1,2,5-'RR' , 'RF' , 'RB'" u="1"/>
        <s v="49,50_COMARCA-1,2,3,4,5-'RR' , 'RF' , 'RB'" u="1"/>
        <s v="26_MATAMOROS-5-'RR' , 'RF' , 'RB'" u="1"/>
        <s v="121_TOLUCA-1,2,3,4,5-'RR' , 'RF' , 'RB'" u="1"/>
        <s v="46_CHIHUAHUA-1,2,3,4,5-'PA' , 'PF'" u="1"/>
        <s v="108_CUERNAVACA-1,2,3,4,5-'PA' , 'PF'" u="1"/>
        <s v="152_MINATITLAN-1,2,3,4,5-'PA' , 'PF'" u="1"/>
        <s v="97_ALTAMIRA-1,2,3,4,5-'PA' , 'PF'" u="1"/>
        <s v="126_TLALNEPANTLA-1,2,5-'PA' , 'PF'" u="1"/>
        <s v="106_CHALCO-1,2,5-'PA' , 'PF'" u="1"/>
        <s v="146_VERACRUZ LOCAL-1,2,5-'PA' , 'PF'" u="1"/>
        <s v="132_OAXACA-5-'RR' , 'RF' , 'RB'" u="1"/>
        <s v="128_PUEBLA FORANEAS-1,2,3,4,5-'PA' , 'PF'" u="1"/>
        <s v="142_ESTADO DE MEXICO-1,2,3,4,5-'RR' , 'RF' , 'RB'" u="1"/>
        <s v="114_TLALPAN-1,2,5-'PA' , 'PF'" u="1"/>
        <s v="32_GUADALAJARA-1,2,5-'RR' , 'RF' , 'RB'" u="1"/>
        <s v="125_TEXCOCO-1,2,5-'RR' , 'RF' , 'RB'" u="1"/>
        <s v="82_IRAPUATO-1,2,3,4,5-'RR' , 'RF' , 'RB'" u="1"/>
        <s v="9_CULIACAN-1,2,3,4,5-'PA' , 'PF'" u="1"/>
        <s v="115_TLALPAN-1,2,5-'RR' , 'RF' , 'RB'" u="1"/>
        <s v="118_COACALCO-1,2,5-'PA' , 'PF'" u="1"/>
        <s v="168_COLIMA-1,2,3,4-'RR' , 'RF' , 'RB'" u="1"/>
        <s v="84_LEON-5-'RR' , 'RF' , 'RB'" u="1"/>
        <s v="54_CAMPECHE-1,2,3,4-'RR' , 'RF' , 'RB'" u="1"/>
        <s v="27_MATAMOROS-1,2,3,4-'RR' , 'RF' , 'RB'" u="1"/>
        <s v="42_SALTILLO-1,2,3,4,5-'RR' , 'RF' , 'RB'" u="1"/>
        <s v="164_TEPIC-1,2,3,4,5-'PA' , 'PF'" u="1"/>
        <s v="131_OAXACA-1,2,3,4-'PA' , 'PF'" u="1"/>
        <s v="13_LA PAZ-1,2,3,4-'RR' , 'RF' , 'RB'" u="1"/>
        <s v="139_SAN JUAN DEL RIO-1,2,3,4-'PA' , 'PF'" u="1"/>
        <s v="56_CD DEL CARMEN-1,2,3,4-'RR' , 'RF' , 'RB'" u="1"/>
        <s v="59_CHETUMAL-1,2,3,4-'PA' , 'PF'" u="1"/>
        <s v="150_XALAPA-1,2,3,4,5-'PA' , 'PF'" u="1"/>
        <s v="48_COMARCA-1,2,3,4,5-'PA' , 'PF'" u="1"/>
        <s v="145_ORIZABA-1,2,3,4-'RR' , 'RF' , 'RB'" u="1"/>
        <s v="34_JALISCO FORANEO-1,2,3,4,5-'RR' , 'RF' , 'RB'" u="1"/>
        <s v="11_CULIACAN-1,2,3,4-'RR' , 'RF' , 'RB'" u="1"/>
        <s v="19_DURANGO-5-'RR' , 'RF' , 'RB'" u="1"/>
        <s v="88_MONTA?-1,2,3,4-'PA' , 'PF'" u="1"/>
        <s v="68_TIJUANA-1,2,3,4,5-'PA' , 'PF'" u="1"/>
        <s v="163_PUERTO VALLARTA Y BB-1,2,5-'RR' , 'RF' , 'RB'" u="1"/>
        <s v="52_DELICIAS-PARRAL-1,2,3,4-'RR' , 'RF' , 'RB'" u="1"/>
        <s v="104,105_CIUDAD VICTORIA-1,2,3,4,5-'RR' , 'RF' , 'RB'" u="1"/>
        <s v="140_SAN JUAN DEL RIO-1,2,3,4-'RR' , 'RF' , 'RB'" u="1"/>
        <s v="136_PUEBLA LOCAL-1,2,3,4-'RR' , 'RF' , 'RB'" u="1"/>
        <s v="148_TUXTEPEC-1,2,3,4-'PA' , 'PF'" u="1"/>
        <s v="64_MERIDA FORANEO-GOLFO-1,2,3,4,5-'RR' , 'RF' , 'RB'" u="1"/>
        <s v="156_NOGALES-1,2,3,4-'PA' , 'PF'" u="1"/>
        <s v="157_NOGALES-1,2,3,4-'RR' , 'RF' , 'RB'" u="1"/>
        <s v="33_JALISCO FORANEO-1,2,3,4,5-'PA' , 'PF'" u="1"/>
        <s v="109_CUERNAVACA-1,2,3,4,5-'RR' , 'RF' , 'RB'" u="1"/>
        <s v="5_HERMOSILLO-1,2,3,4,5-'RR' , 'RF' , 'RB'" u="1"/>
        <s v="127_TLALNEPANTLA-1,2,5-'RR' , 'RF' , 'RB'" u="1"/>
        <s v="77_CELAYA-5-'PA' , 'PF'" u="1"/>
        <s v="31_GUADALAJARA-1,2,5-'PA' , 'PF'" u="1"/>
        <s v="117_ZARAGOZA-5-'RR' , 'RF' , 'RB'" u="1"/>
        <s v="149_TUXTEPEC-1,2,3,4-'RR' , 'RF' , 'RB'" u="1"/>
        <s v="113_REYES-1,2,5-'RR' , 'RF' , 'RB'" u="1"/>
      </sharedItems>
    </cacheField>
    <cacheField name="NielsenArea" numFmtId="49">
      <sharedItems containsNonDate="0" containsBlank="1" count="9">
        <m/>
        <s v="FEMSA" u="1"/>
        <s v="ARCA CONTINENTAL" u="1"/>
        <s v="RICA" u="1"/>
        <s v="BEPENSA" u="1"/>
        <s v="CDF" u="1"/>
        <s v="COLIMA" u="1"/>
        <s v="NAYAR" u="1"/>
        <s v="NOGALES" u="1"/>
      </sharedItems>
    </cacheField>
    <cacheField name="StoreTypeChannel" numFmtId="49">
      <sharedItems containsNonDate="0" containsString="0" containsBlank="1"/>
    </cacheField>
    <cacheField name="StoreType" numFmtId="49">
      <sharedItems containsNonDate="0" containsBlank="1" count="3">
        <m/>
        <s v="Palapa - Puesto Fijo" u="1"/>
        <s v="RSR - RestFonda - RestBar" u="1"/>
      </sharedItems>
    </cacheField>
    <cacheField name="Handler" numFmtId="1">
      <sharedItems containsNonDate="0" containsString="0" containsBlank="1"/>
    </cacheField>
    <cacheField name="BAU_XPanel" numFmtId="3">
      <sharedItems containsNonDate="0" containsString="0" containsBlank="1"/>
    </cacheField>
    <cacheField name="BAU_ZPanel" numFmtId="1">
      <sharedItems containsNonDate="0" containsString="0" containsBlank="1"/>
    </cacheField>
    <cacheField name="BAU_XUniverse" numFmtId="3">
      <sharedItems containsNonDate="0" containsString="0" containsBlank="1"/>
    </cacheField>
    <cacheField name="BAU_ZUniverse" numFmtId="1">
      <sharedItems containsNonDate="0" containsString="0" containsBlank="1"/>
    </cacheField>
    <cacheField name="BAU_XFactor" numFmtId="4">
      <sharedItems containsNonDate="0" containsString="0" containsBlank="1"/>
    </cacheField>
    <cacheField name="BAU_ZFactor" numFmtId="1">
      <sharedItems containsNonDate="0" containsString="0" containsBlank="1"/>
    </cacheField>
    <cacheField name="BAU_XZRatio" numFmtId="9">
      <sharedItems containsNonDate="0" containsString="0" containsBlank="1"/>
    </cacheField>
    <cacheField name="VUE_XUniverse" numFmtId="3">
      <sharedItems containsNonDate="0" containsString="0" containsBlank="1"/>
    </cacheField>
    <cacheField name="VUE_ZUniverse" numFmtId="1">
      <sharedItems containsNonDate="0" containsString="0" containsBlank="1"/>
    </cacheField>
    <cacheField name="VUE_XPanel" numFmtId="3">
      <sharedItems containsNonDate="0" containsString="0" containsBlank="1"/>
    </cacheField>
    <cacheField name="VUE_ZPanel" numFmtId="1">
      <sharedItems containsNonDate="0" containsString="0" containsBlank="1"/>
    </cacheField>
    <cacheField name="VUE_XFactor" numFmtId="4">
      <sharedItems containsNonDate="0" containsString="0" containsBlank="1"/>
    </cacheField>
    <cacheField name="VUE_ZFactor" numFmtId="1">
      <sharedItems containsNonDate="0" containsString="0" containsBlank="1"/>
    </cacheField>
    <cacheField name="VUE_XZRatio" numFmtId="9">
      <sharedItems containsNonDate="0" containsString="0" containsBlank="1"/>
    </cacheField>
    <cacheField name="VUE_XZDistance" numFmtId="164">
      <sharedItems containsNonDate="0" containsString="0" containsBlank="1"/>
    </cacheField>
    <cacheField name="XZ Proposed Distance" numFmtId="165">
      <sharedItems containsNonDate="0" containsString="0" containsBlank="1"/>
    </cacheField>
    <cacheField name="ADJ_XFactor" numFmtId="2">
      <sharedItems containsNonDate="0" containsString="0" containsBlank="1"/>
    </cacheField>
    <cacheField name="ADJ_XUniverse" numFmtId="166">
      <sharedItems containsNonDate="0" containsString="0" containsBlank="1"/>
    </cacheField>
    <cacheField name="VAR_XUniverse (BAU vs VUE)" numFmtId="10">
      <sharedItems containsNonDate="0" containsString="0" containsBlank="1"/>
    </cacheField>
    <cacheField name="VAR_XUniverse (BAU vs ADJ)" numFmtId="10">
      <sharedItems containsNonDate="0" containsString="0" containsBlank="1"/>
    </cacheField>
    <cacheField name="VAR_XFactor (BAU vs VUE)" numFmtId="10">
      <sharedItems containsNonDate="0" containsString="0" containsBlank="1"/>
    </cacheField>
    <cacheField name="VAR_XFactor (BAU vs ADJ)" numFmtId="10">
      <sharedItems containsNonDate="0" containsString="0" containsBlank="1"/>
    </cacheField>
    <cacheField name="VAR_ZUniverse" numFmtId="10">
      <sharedItems containsNonDate="0" containsString="0" containsBlank="1"/>
    </cacheField>
    <cacheField name="BAU_N Area-Channel Cell Weight" numFmtId="167">
      <sharedItems containsNonDate="0" containsString="0" containsBlank="1"/>
    </cacheField>
    <cacheField name="BAU_NSPC Area-Channel Cell Weight" numFmtId="167">
      <sharedItems containsNonDate="0" containsString="0" containsBlank="1"/>
    </cacheField>
    <cacheField name="VUE_N Area-Channel Cell Weight" numFmtId="167">
      <sharedItems containsNonDate="0" containsString="0" containsBlank="1"/>
    </cacheField>
    <cacheField name="VUE_NSPC Area-Channel Cell Weight" numFmtId="167">
      <sharedItems containsNonDate="0" containsString="0" containsBlank="1"/>
    </cacheField>
    <cacheField name="ADJ_NSPC Area-Channel Cell Weight" numFmtId="167">
      <sharedItems containsNonDate="0" containsString="0" containsBlank="1"/>
    </cacheField>
    <cacheField name="N Area-Channel Cell Weight diff (BAU vs VUE)" numFmtId="167">
      <sharedItems containsNonDate="0" containsString="0" containsBlank="1"/>
    </cacheField>
    <cacheField name="NSPC Area-Channel Cell Weight diff (BAU vs VUE)" numFmtId="167">
      <sharedItems containsNonDate="0" containsString="0" containsBlank="1"/>
    </cacheField>
    <cacheField name="NSPC Area-Channel Cell Weight diff (BAU vs ADJ)" numFmtId="167">
      <sharedItems containsNonDate="0" containsString="0" containsBlank="1"/>
    </cacheField>
    <cacheField name="NSPC Area-Channel Cell Weight diff (VUE vs ADJ)" numFmtId="167">
      <sharedItems containsNonDate="0" containsString="0" containsBlank="1"/>
    </cacheField>
    <cacheField name="Average BAU Universe" numFmtId="168">
      <sharedItems containsNonDate="0" containsString="0" containsBlank="1"/>
    </cacheField>
    <cacheField name="Average BAU Panel" numFmtId="168">
      <sharedItems containsNonDate="0" containsString="0" containsBlank="1"/>
    </cacheField>
    <cacheField name="Average VUE Universe" numFmtId="168">
      <sharedItems containsNonDate="0" containsString="0" containsBlank="1"/>
    </cacheField>
    <cacheField name="Average VUE Panel" numFmtId="168">
      <sharedItems containsNonDate="0" containsString="0" containsBlank="1"/>
    </cacheField>
    <cacheField name="Average ADJ Universe" numFmtId="168">
      <sharedItems containsNonDate="0" containsString="0" containsBlank="1"/>
    </cacheField>
    <cacheField name="DTest" numFmtId="1">
      <sharedItems containsNonDate="0" containsString="0" containsBlank="1"/>
    </cacheField>
    <cacheField name="NSPCTest" numFmtId="1">
      <sharedItems containsNonDate="0" containsString="0" containsBlank="1"/>
    </cacheField>
    <cacheField name="XFTest" numFmtId="1">
      <sharedItems containsNonDate="0" containsString="0" containsBlank="1"/>
    </cacheField>
    <cacheField name="SignTest" numFmtId="1">
      <sharedItems containsNonDate="0" containsString="0" containsBlank="1"/>
    </cacheField>
    <cacheField name="VarDirectionGapTest" numFmtId="1">
      <sharedItems containsNonDate="0" containsString="0" containsBlank="1"/>
    </cacheField>
    <cacheField name="CellDiagnostic" numFmtId="0">
      <sharedItems containsNonDate="0" containsString="0" containsBlank="1"/>
    </cacheField>
    <cacheField name="Comments"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elayo, Sergio" refreshedDate="45639.718039004627" createdVersion="3" refreshedVersion="8" minRefreshableVersion="3" recordCount="2526" xr:uid="{6A53FCC8-11C7-429F-A018-8A03D19E012F}">
  <cacheSource type="worksheet">
    <worksheetSource ref="A1:U2527" sheet="Impacts"/>
  </cacheSource>
  <cacheFields count="21">
    <cacheField name="MbdID" numFmtId="1">
      <sharedItems containsNonDate="0" containsString="0" containsBlank="1" containsNumber="1" containsInteger="1" minValue="20113635" maxValue="20113818" count="30">
        <m/>
        <n v="20113635" u="1"/>
        <n v="20113636" u="1"/>
        <n v="20113638" u="1"/>
        <n v="20113639" u="1"/>
        <n v="20113641" u="1"/>
        <n v="20113642" u="1"/>
        <n v="20113644" u="1"/>
        <n v="20113645" u="1"/>
        <n v="20113647" u="1"/>
        <n v="20113648" u="1"/>
        <n v="20113650" u="1"/>
        <n v="20113651" u="1"/>
        <n v="20113652" u="1"/>
        <n v="20113654" u="1"/>
        <n v="20113655" u="1"/>
        <n v="20113656" u="1"/>
        <n v="20113661" u="1"/>
        <n v="20113662" u="1"/>
        <n v="20113667" u="1"/>
        <n v="20113679" u="1"/>
        <n v="20113674" u="1"/>
        <n v="20113675" u="1"/>
        <n v="20113677" u="1"/>
        <n v="20113681" u="1"/>
        <n v="20113683" u="1"/>
        <n v="20113684" u="1"/>
        <n v="20113812" u="1"/>
        <n v="20113815" u="1"/>
        <n v="20113818" u="1"/>
      </sharedItems>
    </cacheField>
    <cacheField name="MbdName" numFmtId="49">
      <sharedItems containsNonDate="0" containsBlank="1" count="30">
        <m/>
        <s v="TOTAL ONPREMISE MEXICO" u="1"/>
        <s v="TOTAL ONPREMISE FEMSA" u="1"/>
        <s v="TOTAL ONPREMISE PUEBLA - OAXACA" u="1"/>
        <s v="TOTAL ONPREMISE GUERRERO" u="1"/>
        <s v="TOTAL ONPREMISE VILLA - MINA" u="1"/>
        <s v="TOTAL ONPREMISE CHIAPAS- COSTAS OAX" u="1"/>
        <s v="TOTAL ONPREMISE PONIENTE" u="1"/>
        <s v="TOTAL ONPREMISE ORIENTE" u="1"/>
        <s v="TOTAL ONPREMISE NORESTE" u="1"/>
        <s v="TOTAL ONPREMISE VERACRUZ" u="1"/>
        <s v="TOTAL ONPREMISE MICHOACAN" u="1"/>
        <s v="TOTAL ONPREMISE MORELOS/CUERNAVACA" u="1"/>
        <s v="TOTAL ONPREMISE ESTADO DE MEXICO" u="1"/>
        <s v="TOTAL ONPREMISE GUANAJUATO" u="1"/>
        <s v="TOTAL ONPREMISE QUERETARO" u="1"/>
        <s v="TOTAL ONPREMISE RICA" u="1"/>
        <s v="TOTAL ONPREMISE NOGALES" u="1"/>
        <s v="TOTAL ONPREMISE CDF" u="1"/>
        <s v="TOTAL ONPREMISE BEPENSA" u="1"/>
        <s v="TOTAL ONPREMISE ZONA NORESTE" u="1"/>
        <s v="TOTAL ONPREMISE ARCA CONTINENTAL" u="1"/>
        <s v="TOTAL ONPREMISE ZONA PACIFICO" u="1"/>
        <s v="TOTAL ONPREMISE ZONA NORTE" u="1"/>
        <s v="TOTAL ONPREMISE ZONA OCCIDENTE" u="1"/>
        <s v="TOTAL ONPREMISE NAYAR" u="1"/>
        <s v="TOTAL ONPREMISE COLIMA" u="1"/>
        <s v="TOTAL ONPREMISE ZONA QUINTANA ROO" u="1"/>
        <s v="TOTAL ONPREMISE ZONA YUCATAN" u="1"/>
        <s v="TOTAL ONPREMISE ZONA CAMPECHE" u="1"/>
      </sharedItems>
    </cacheField>
    <cacheField name="Cell_ID" numFmtId="1">
      <sharedItems containsNonDate="0" containsString="0" containsBlank="1"/>
    </cacheField>
    <cacheField name="CategoryCode" numFmtId="1">
      <sharedItems containsNonDate="0" containsString="0" containsBlank="1"/>
    </cacheField>
    <cacheField name="CategoryName" numFmtId="49">
      <sharedItems containsNonDate="0" containsBlank="1" count="7">
        <m/>
        <s v="CERVEZAS" u="1"/>
        <s v="REFRESCOS" u="1"/>
        <s v="AGUA/PURI" u="1"/>
        <s v="JUGOS" u="1"/>
        <s v="TE LISTO PARA BEBER" u="1"/>
        <s v="BEBIDAS PREPARADAS EN EL LUGAR" u="1"/>
      </sharedItems>
    </cacheField>
    <cacheField name="MBD Type" numFmtId="49">
      <sharedItems containsNonDate="0" containsBlank="1" count="5">
        <m/>
        <s v="TOTAL COUNTRY" u="1"/>
        <s v="MAJOR" u="1"/>
        <s v="MINOR" u="1"/>
        <s v="VERY MINOR" u="1"/>
      </sharedItems>
    </cacheField>
    <cacheField name="Target" numFmtId="9">
      <sharedItems containsNonDate="0" containsString="0" containsBlank="1" containsNumber="1" minValue="0.04" maxValue="0.2" count="5">
        <m/>
        <n v="0.04" u="1"/>
        <n v="0.1" u="1"/>
        <n v="0.15" u="1"/>
        <n v="0.2" u="1"/>
      </sharedItems>
    </cacheField>
    <cacheField name="Num Dist" numFmtId="10">
      <sharedItems containsNonDate="0" containsString="0" containsBlank="1" containsNumber="1" minValue="1.24E-2" maxValue="1" count="150">
        <m/>
        <n v="0.20130000000000001" u="1"/>
        <n v="0.99980000000000002" u="1"/>
        <n v="0.62660000000000005" u="1"/>
        <n v="0.58660000000000001" u="1"/>
        <n v="0.12809999999999999" u="1"/>
        <n v="0.47339999999999999" u="1"/>
        <n v="0.2112" u="1"/>
        <n v="0.99960000000000004" u="1"/>
        <n v="0.6139" u="1"/>
        <n v="0.65169999999999995" u="1"/>
        <n v="4.0399999999999998E-2" u="1"/>
        <n v="0.55630000000000002" u="1"/>
        <n v="0.30940000000000001" u="1"/>
        <n v="1" u="1"/>
        <n v="0.81340000000000001" u="1"/>
        <n v="0.79300000000000004" u="1"/>
        <n v="4.41E-2" u="1"/>
        <n v="0.66759999999999997" u="1"/>
        <n v="0.49080000000000001" u="1"/>
        <n v="0.90410000000000001" u="1"/>
        <n v="0.54259999999999997" u="1"/>
        <n v="0.45490000000000003" u="1"/>
        <n v="3.04E-2" u="1"/>
        <n v="0.1048" u="1"/>
        <n v="0.52170000000000005" u="1"/>
        <n v="0.24490000000000001" u="1"/>
        <n v="0.56340000000000001" u="1"/>
        <n v="1.2500000000000001E-2" u="1"/>
        <n v="0.17100000000000001" u="1"/>
        <n v="0.61609999999999998" u="1"/>
        <n v="0.51319999999999999" u="1"/>
        <n v="2.7400000000000001E-2" u="1"/>
        <n v="0.51700000000000002" u="1"/>
        <n v="0.1497" u="1"/>
        <n v="0.35920000000000002" u="1"/>
        <n v="0.82789999999999997" u="1"/>
        <n v="1.24E-2" u="1"/>
        <n v="0.51770000000000005" u="1"/>
        <n v="0.28799999999999998" u="1"/>
        <n v="0.40200000000000002" u="1"/>
        <n v="0.79690000000000005" u="1"/>
        <n v="3.2399999999999998E-2" u="1"/>
        <n v="0.53159999999999996" u="1"/>
        <n v="3.2899999999999999E-2" u="1"/>
        <n v="0.61990000000000001" u="1"/>
        <n v="0.55230000000000001" u="1"/>
        <n v="4.5199999999999997E-2" u="1"/>
        <n v="0.56479999999999997" u="1"/>
        <n v="0.24299999999999999" u="1"/>
        <n v="0.99570000000000003" u="1"/>
        <n v="0.70530000000000004" u="1"/>
        <n v="0.56299999999999994" u="1"/>
        <n v="4.1200000000000001E-2" u="1"/>
        <n v="0.70750000000000002" u="1"/>
        <n v="9.4E-2" u="1"/>
        <n v="0.76929999999999998" u="1"/>
        <n v="0.53779999999999994" u="1"/>
        <n v="4.2000000000000003E-2" u="1"/>
        <n v="0.68940000000000001" u="1"/>
        <n v="0.192" u="1"/>
        <n v="0.75680000000000003" u="1"/>
        <n v="0.76459999999999995" u="1"/>
        <n v="1.7500000000000002E-2" u="1"/>
        <n v="0.66469999999999996" u="1"/>
        <n v="0.23930000000000001" u="1"/>
        <n v="0.74790000000000001" u="1"/>
        <n v="0.83009999999999995" u="1"/>
        <n v="2.76E-2" u="1"/>
        <n v="0.75509999999999999" u="1"/>
        <n v="0.19639999999999999" u="1"/>
        <n v="0.60799999999999998" u="1"/>
        <n v="0.62019999999999997" u="1"/>
        <n v="9.8799999999999999E-2" u="1"/>
        <n v="0.25519999999999998" u="1"/>
        <n v="0.1176" u="1"/>
        <n v="0.48899999999999999" u="1"/>
        <n v="0.77139999999999997" u="1"/>
        <n v="0.1462" u="1"/>
        <n v="0.22459999999999999" u="1"/>
        <n v="0.63819999999999999" u="1"/>
        <n v="0.84819999999999995" u="1"/>
        <n v="3.61E-2" u="1"/>
        <n v="0.55130000000000001" u="1"/>
        <n v="0.1041" u="1"/>
        <n v="0.53320000000000001" u="1"/>
        <n v="0.36840000000000001" u="1"/>
        <n v="0.34229999999999999" u="1"/>
        <n v="0.1119" u="1"/>
        <n v="7.9100000000000004E-2" u="1"/>
        <n v="0.11799999999999999" u="1"/>
        <n v="0.7409" u="1"/>
        <n v="0.56969999999999998" u="1"/>
        <n v="0.48830000000000001" u="1"/>
        <n v="0.3372" u="1"/>
        <n v="0.4713" u="1"/>
        <n v="0.29909999999999998" u="1"/>
        <n v="0.2334" u="1"/>
        <n v="0.42820000000000003" u="1"/>
        <n v="0.42180000000000001" u="1"/>
        <n v="0.1633" u="1"/>
        <n v="0.66959999999999997" u="1"/>
        <n v="0.47560000000000002" u="1"/>
        <n v="0.253" u="1"/>
        <n v="0.22009999999999999" u="1"/>
        <n v="0.31159999999999999" u="1"/>
        <n v="0.14130000000000001" u="1"/>
        <n v="0.60580000000000001" u="1"/>
        <n v="0.37719999999999998" u="1"/>
        <n v="0.30130000000000001" u="1"/>
        <n v="0.40679999999999999" u="1"/>
        <n v="0.69530000000000003" u="1"/>
        <n v="0.51829999999999998" u="1"/>
        <n v="0.3291" u="1"/>
        <n v="0.1993" u="1"/>
        <n v="0.27229999999999999" u="1"/>
        <n v="0.6976" u="1"/>
        <n v="0.26340000000000002" u="1"/>
        <n v="0.2586" u="1"/>
        <n v="0.1331" u="1"/>
        <n v="0.66800000000000004" u="1"/>
        <n v="0.51680000000000004" u="1"/>
        <n v="0.1933" u="1"/>
        <n v="0.31759999999999999" u="1"/>
        <n v="0.3049" u="1"/>
        <n v="0.63539999999999996" u="1"/>
        <n v="0.51180000000000003" u="1"/>
        <n v="0.34350000000000003" u="1"/>
        <n v="0.1019" u="1"/>
        <n v="0.38150000000000001" u="1"/>
        <n v="0.64729999999999999" u="1"/>
        <n v="0.4622" u="1"/>
        <n v="0.2011" u="1"/>
        <n v="0.55889999999999995" u="1"/>
        <n v="7.5700000000000003E-2" u="1"/>
        <n v="0.34210000000000002" u="1"/>
        <n v="0.1472" u="1"/>
        <n v="0.16009999999999999" u="1"/>
        <n v="0.66639999999999999" u="1"/>
        <n v="0.18390000000000001" u="1"/>
        <n v="0.55220000000000002" u="1"/>
        <n v="0.37169999999999997" u="1"/>
        <n v="0.26679999999999998" u="1"/>
        <n v="0.13539999999999999" u="1"/>
        <n v="0.1794" u="1"/>
        <n v="0.4577" u="1"/>
        <n v="0.35859999999999997" u="1"/>
        <n v="0.2676" u="1"/>
        <n v="0.89070000000000005" u="1"/>
        <n v="6.9099999999999995E-2" u="1"/>
      </sharedItems>
    </cacheField>
    <cacheField name="Baseline_Sales" numFmtId="164">
      <sharedItems containsNonDate="0" containsString="0" containsBlank="1"/>
    </cacheField>
    <cacheField name="Baseline_CellImportance" numFmtId="10">
      <sharedItems containsNonDate="0" containsString="0" containsBlank="1"/>
    </cacheField>
    <cacheField name="BAU_XFactor" numFmtId="164">
      <sharedItems containsNonDate="0" containsString="0" containsBlank="1"/>
    </cacheField>
    <cacheField name="VUE_XFactor" numFmtId="164">
      <sharedItems containsNonDate="0" containsString="0" containsBlank="1"/>
    </cacheField>
    <cacheField name="ADJ_XFactor" numFmtId="164">
      <sharedItems containsNonDate="0" containsString="0" containsBlank="1"/>
    </cacheField>
    <cacheField name="UnprojectedSales" numFmtId="164">
      <sharedItems containsNonDate="0" containsString="0" containsBlank="1"/>
    </cacheField>
    <cacheField name="VUE_ProjectedSales" numFmtId="164">
      <sharedItems containsNonDate="0" containsString="0" containsBlank="1"/>
    </cacheField>
    <cacheField name="ADJ_ProjectedSales" numFmtId="164">
      <sharedItems containsNonDate="0" containsString="0" containsBlank="1"/>
    </cacheField>
    <cacheField name="VUE_SalesImpact" numFmtId="10">
      <sharedItems containsNonDate="0" containsString="0" containsBlank="1"/>
    </cacheField>
    <cacheField name="ADJ_SalesImpact" numFmtId="10">
      <sharedItems containsNonDate="0" containsString="0" containsBlank="1"/>
    </cacheField>
    <cacheField name="CellCatTest" numFmtId="1">
      <sharedItems containsNonDate="0" containsString="0" containsBlank="1"/>
    </cacheField>
    <cacheField name="OutOfTarget" numFmtId="1">
      <sharedItems containsNonDate="0" containsString="0" containsBlank="1"/>
    </cacheField>
    <cacheField name="MBDCatDiag"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elayo, Sergio" refreshedDate="45639.718039236112" createdVersion="3" refreshedVersion="8" minRefreshableVersion="3" recordCount="168" xr:uid="{2F6334C3-9213-4AC3-A7C1-70AD920EACE9}">
  <cacheSource type="worksheet">
    <worksheetSource ref="A1:BC169" sheet="CellAdj"/>
  </cacheSource>
  <cacheFields count="55">
    <cacheField name="INDEX" numFmtId="49">
      <sharedItems containsNonDate="0" containsString="0" containsBlank="1"/>
    </cacheField>
    <cacheField name="CHANNEL" numFmtId="49">
      <sharedItems containsNonDate="0" containsString="0" containsBlank="1"/>
    </cacheField>
    <cacheField name="SAMPLE" numFmtId="1">
      <sharedItems containsNonDate="0" containsString="0" containsBlank="1"/>
    </cacheField>
    <cacheField name="IBD_ID" numFmtId="1">
      <sharedItems containsNonDate="0" containsString="0" containsBlank="1"/>
    </cacheField>
    <cacheField name="IBD_Name" numFmtId="49">
      <sharedItems containsNonDate="0" containsString="0" containsBlank="1"/>
    </cacheField>
    <cacheField name="Cell_ID" numFmtId="1">
      <sharedItems containsNonDate="0" containsString="0" containsBlank="1"/>
    </cacheField>
    <cacheField name="Cell_Name" numFmtId="49">
      <sharedItems containsNonDate="0" containsString="0" containsBlank="1"/>
    </cacheField>
    <cacheField name="NielsenArea" numFmtId="49">
      <sharedItems containsNonDate="0" containsBlank="1" count="9">
        <m/>
        <s v="FEMSA" u="1"/>
        <s v="ARCA CONTINENTAL" u="1"/>
        <s v="RICA" u="1"/>
        <s v="BEPENSA" u="1"/>
        <s v="CDF" u="1"/>
        <s v="COLIMA" u="1"/>
        <s v="NAYAR" u="1"/>
        <s v="NOGALES" u="1"/>
      </sharedItems>
    </cacheField>
    <cacheField name="StoreTypeChannel" numFmtId="49">
      <sharedItems containsNonDate="0" containsBlank="1" count="2">
        <m/>
        <s v="ON PREMISE" u="1"/>
      </sharedItems>
    </cacheField>
    <cacheField name="StoreType" numFmtId="49">
      <sharedItems containsNonDate="0" containsBlank="1" count="3">
        <m/>
        <s v="Palapa - Puesto Fijo" u="1"/>
        <s v="RSR - RestFonda - RestBar" u="1"/>
      </sharedItems>
    </cacheField>
    <cacheField name="Handler" numFmtId="1">
      <sharedItems containsNonDate="0" containsString="0" containsBlank="1"/>
    </cacheField>
    <cacheField name="BAU_XPanel" numFmtId="3">
      <sharedItems containsNonDate="0" containsString="0" containsBlank="1"/>
    </cacheField>
    <cacheField name="BAU_ZPanel" numFmtId="1">
      <sharedItems containsNonDate="0" containsString="0" containsBlank="1"/>
    </cacheField>
    <cacheField name="BAU_XUniverse" numFmtId="3">
      <sharedItems containsNonDate="0" containsString="0" containsBlank="1"/>
    </cacheField>
    <cacheField name="BAU_ZUniverse" numFmtId="1">
      <sharedItems containsNonDate="0" containsString="0" containsBlank="1"/>
    </cacheField>
    <cacheField name="BAU_XFactor" numFmtId="4">
      <sharedItems containsNonDate="0" containsString="0" containsBlank="1"/>
    </cacheField>
    <cacheField name="BAU_ZFactor" numFmtId="1">
      <sharedItems containsNonDate="0" containsString="0" containsBlank="1"/>
    </cacheField>
    <cacheField name="BAU_XZRatio" numFmtId="9">
      <sharedItems containsNonDate="0" containsString="0" containsBlank="1"/>
    </cacheField>
    <cacheField name="VUE_XUniverse" numFmtId="3">
      <sharedItems containsNonDate="0" containsString="0" containsBlank="1"/>
    </cacheField>
    <cacheField name="VUE_ZUniverse" numFmtId="1">
      <sharedItems containsNonDate="0" containsString="0" containsBlank="1"/>
    </cacheField>
    <cacheField name="VUE_XPanel" numFmtId="3">
      <sharedItems containsNonDate="0" containsString="0" containsBlank="1"/>
    </cacheField>
    <cacheField name="VUE_ZPanel" numFmtId="1">
      <sharedItems containsNonDate="0" containsString="0" containsBlank="1"/>
    </cacheField>
    <cacheField name="VUE_XFactor" numFmtId="4">
      <sharedItems containsNonDate="0" containsString="0" containsBlank="1"/>
    </cacheField>
    <cacheField name="VUE_ZFactor" numFmtId="1">
      <sharedItems containsNonDate="0" containsString="0" containsBlank="1"/>
    </cacheField>
    <cacheField name="VUE_XZRatio" numFmtId="9">
      <sharedItems containsNonDate="0" containsString="0" containsBlank="1"/>
    </cacheField>
    <cacheField name="VUE_XZDistance" numFmtId="164">
      <sharedItems containsNonDate="0" containsString="0" containsBlank="1"/>
    </cacheField>
    <cacheField name="XZ Proposed Distance" numFmtId="165">
      <sharedItems containsNonDate="0" containsString="0" containsBlank="1"/>
    </cacheField>
    <cacheField name="ADJ_XFactor" numFmtId="2">
      <sharedItems containsNonDate="0" containsString="0" containsBlank="1"/>
    </cacheField>
    <cacheField name="ADJ_XUniverse" numFmtId="166">
      <sharedItems containsNonDate="0" containsString="0" containsBlank="1"/>
    </cacheField>
    <cacheField name="VAR_XUniverse (BAU vs VUE)" numFmtId="10">
      <sharedItems containsNonDate="0" containsString="0" containsBlank="1"/>
    </cacheField>
    <cacheField name="VAR_XUniverse (BAU vs ADJ)" numFmtId="10">
      <sharedItems containsNonDate="0" containsString="0" containsBlank="1"/>
    </cacheField>
    <cacheField name="VAR_XFactor (BAU vs VUE)" numFmtId="10">
      <sharedItems containsNonDate="0" containsString="0" containsBlank="1"/>
    </cacheField>
    <cacheField name="VAR_XFactor (BAU vs ADJ)" numFmtId="10">
      <sharedItems containsNonDate="0" containsString="0" containsBlank="1"/>
    </cacheField>
    <cacheField name="VAR_ZUniverse" numFmtId="10">
      <sharedItems containsNonDate="0" containsString="0" containsBlank="1"/>
    </cacheField>
    <cacheField name="BAU_N Area-Channel Cell Weight" numFmtId="167">
      <sharedItems containsNonDate="0" containsString="0" containsBlank="1"/>
    </cacheField>
    <cacheField name="BAU_NSPC Area-Channel Cell Weight" numFmtId="167">
      <sharedItems containsNonDate="0" containsString="0" containsBlank="1"/>
    </cacheField>
    <cacheField name="VUE_N Area-Channel Cell Weight" numFmtId="167">
      <sharedItems containsNonDate="0" containsString="0" containsBlank="1"/>
    </cacheField>
    <cacheField name="VUE_NSPC Area-Channel Cell Weight" numFmtId="167">
      <sharedItems containsNonDate="0" containsString="0" containsBlank="1"/>
    </cacheField>
    <cacheField name="ADJ_NSPC Area-Channel Cell Weight" numFmtId="167">
      <sharedItems containsNonDate="0" containsString="0" containsBlank="1"/>
    </cacheField>
    <cacheField name="N Area-Channel Cell Weight diff (BAU vs VUE)" numFmtId="167">
      <sharedItems containsNonDate="0" containsString="0" containsBlank="1"/>
    </cacheField>
    <cacheField name="NSPC Area-Channel Cell Weight diff (BAU vs VUE)" numFmtId="167">
      <sharedItems containsNonDate="0" containsString="0" containsBlank="1"/>
    </cacheField>
    <cacheField name="NSPC Area-Channel Cell Weight diff (BAU vs ADJ)" numFmtId="167">
      <sharedItems containsNonDate="0" containsString="0" containsBlank="1"/>
    </cacheField>
    <cacheField name="NSPC Area-Channel Cell Weight diff (VUE vs ADJ)" numFmtId="167">
      <sharedItems containsNonDate="0" containsString="0" containsBlank="1"/>
    </cacheField>
    <cacheField name="Average BAU Universe" numFmtId="168">
      <sharedItems containsNonDate="0" containsString="0" containsBlank="1"/>
    </cacheField>
    <cacheField name="Average BAU Panel" numFmtId="168">
      <sharedItems containsNonDate="0" containsString="0" containsBlank="1"/>
    </cacheField>
    <cacheField name="Average VUE Universe" numFmtId="168">
      <sharedItems containsNonDate="0" containsString="0" containsBlank="1"/>
    </cacheField>
    <cacheField name="Average VUE Panel" numFmtId="168">
      <sharedItems containsNonDate="0" containsString="0" containsBlank="1"/>
    </cacheField>
    <cacheField name="Average ADJ Universe" numFmtId="168">
      <sharedItems containsNonDate="0" containsString="0" containsBlank="1"/>
    </cacheField>
    <cacheField name="DTest" numFmtId="1">
      <sharedItems containsNonDate="0" containsString="0" containsBlank="1"/>
    </cacheField>
    <cacheField name="NSPCTest" numFmtId="1">
      <sharedItems containsNonDate="0" containsString="0" containsBlank="1"/>
    </cacheField>
    <cacheField name="XFTest" numFmtId="1">
      <sharedItems containsNonDate="0" containsString="0" containsBlank="1"/>
    </cacheField>
    <cacheField name="SignTest" numFmtId="1">
      <sharedItems containsNonDate="0" containsString="0" containsBlank="1"/>
    </cacheField>
    <cacheField name="VarDirectionGapTest" numFmtId="1">
      <sharedItems containsNonDate="0" containsString="0" containsBlank="1"/>
    </cacheField>
    <cacheField name="CellDiagnostic" numFmtId="0">
      <sharedItems containsNonDate="0" containsString="0" containsBlank="1"/>
    </cacheField>
    <cacheField name="Comments"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elayo, Sergio" refreshedDate="45639.71803935185" createdVersion="3" refreshedVersion="8" minRefreshableVersion="3" recordCount="168" xr:uid="{F7786457-DB68-440B-82FE-4D9FF8ED1544}">
  <cacheSource type="worksheet">
    <worksheetSource ref="A1:BC169" sheet="CellAdj"/>
  </cacheSource>
  <cacheFields count="55">
    <cacheField name="INDEX" numFmtId="49">
      <sharedItems containsNonDate="0" containsString="0" containsBlank="1"/>
    </cacheField>
    <cacheField name="CHANNEL" numFmtId="49">
      <sharedItems containsNonDate="0" containsString="0" containsBlank="1"/>
    </cacheField>
    <cacheField name="SAMPLE" numFmtId="1">
      <sharedItems containsNonDate="0" containsString="0" containsBlank="1"/>
    </cacheField>
    <cacheField name="IBD_ID" numFmtId="1">
      <sharedItems containsNonDate="0" containsString="0" containsBlank="1"/>
    </cacheField>
    <cacheField name="IBD_Name" numFmtId="49">
      <sharedItems containsNonDate="0" containsString="0" containsBlank="1"/>
    </cacheField>
    <cacheField name="Cell_ID" numFmtId="1">
      <sharedItems containsNonDate="0" containsString="0" containsBlank="1"/>
    </cacheField>
    <cacheField name="Cell_Name" numFmtId="49">
      <sharedItems containsNonDate="0" containsString="0" containsBlank="1"/>
    </cacheField>
    <cacheField name="NielsenArea" numFmtId="49">
      <sharedItems containsNonDate="0" containsBlank="1" count="9">
        <m/>
        <s v="FEMSA" u="1"/>
        <s v="ARCA CONTINENTAL" u="1"/>
        <s v="RICA" u="1"/>
        <s v="BEPENSA" u="1"/>
        <s v="CDF" u="1"/>
        <s v="COLIMA" u="1"/>
        <s v="NAYAR" u="1"/>
        <s v="NOGALES" u="1"/>
      </sharedItems>
    </cacheField>
    <cacheField name="StoreTypeChannel" numFmtId="49">
      <sharedItems containsNonDate="0" containsBlank="1" count="2">
        <m/>
        <s v="ON PREMISE" u="1"/>
      </sharedItems>
    </cacheField>
    <cacheField name="StoreType" numFmtId="49">
      <sharedItems containsNonDate="0" containsString="0" containsBlank="1"/>
    </cacheField>
    <cacheField name="Handler" numFmtId="1">
      <sharedItems containsNonDate="0" containsString="0" containsBlank="1"/>
    </cacheField>
    <cacheField name="BAU_XPanel" numFmtId="3">
      <sharedItems containsNonDate="0" containsString="0" containsBlank="1"/>
    </cacheField>
    <cacheField name="BAU_ZPanel" numFmtId="1">
      <sharedItems containsNonDate="0" containsString="0" containsBlank="1"/>
    </cacheField>
    <cacheField name="BAU_XUniverse" numFmtId="3">
      <sharedItems containsNonDate="0" containsString="0" containsBlank="1"/>
    </cacheField>
    <cacheField name="BAU_ZUniverse" numFmtId="1">
      <sharedItems containsNonDate="0" containsString="0" containsBlank="1"/>
    </cacheField>
    <cacheField name="BAU_XFactor" numFmtId="4">
      <sharedItems containsNonDate="0" containsString="0" containsBlank="1"/>
    </cacheField>
    <cacheField name="BAU_ZFactor" numFmtId="1">
      <sharedItems containsNonDate="0" containsString="0" containsBlank="1"/>
    </cacheField>
    <cacheField name="BAU_XZRatio" numFmtId="9">
      <sharedItems containsNonDate="0" containsString="0" containsBlank="1"/>
    </cacheField>
    <cacheField name="VUE_XUniverse" numFmtId="3">
      <sharedItems containsNonDate="0" containsString="0" containsBlank="1"/>
    </cacheField>
    <cacheField name="VUE_ZUniverse" numFmtId="1">
      <sharedItems containsNonDate="0" containsString="0" containsBlank="1"/>
    </cacheField>
    <cacheField name="VUE_XPanel" numFmtId="3">
      <sharedItems containsNonDate="0" containsString="0" containsBlank="1"/>
    </cacheField>
    <cacheField name="VUE_ZPanel" numFmtId="1">
      <sharedItems containsNonDate="0" containsString="0" containsBlank="1"/>
    </cacheField>
    <cacheField name="VUE_XFactor" numFmtId="4">
      <sharedItems containsNonDate="0" containsString="0" containsBlank="1"/>
    </cacheField>
    <cacheField name="VUE_ZFactor" numFmtId="1">
      <sharedItems containsNonDate="0" containsString="0" containsBlank="1"/>
    </cacheField>
    <cacheField name="VUE_XZRatio" numFmtId="9">
      <sharedItems containsNonDate="0" containsString="0" containsBlank="1"/>
    </cacheField>
    <cacheField name="VUE_XZDistance" numFmtId="164">
      <sharedItems containsNonDate="0" containsString="0" containsBlank="1"/>
    </cacheField>
    <cacheField name="XZ Proposed Distance" numFmtId="165">
      <sharedItems containsNonDate="0" containsString="0" containsBlank="1"/>
    </cacheField>
    <cacheField name="ADJ_XFactor" numFmtId="2">
      <sharedItems containsNonDate="0" containsString="0" containsBlank="1"/>
    </cacheField>
    <cacheField name="ADJ_XUniverse" numFmtId="166">
      <sharedItems containsNonDate="0" containsString="0" containsBlank="1"/>
    </cacheField>
    <cacheField name="VAR_XUniverse (BAU vs VUE)" numFmtId="10">
      <sharedItems containsNonDate="0" containsString="0" containsBlank="1"/>
    </cacheField>
    <cacheField name="VAR_XUniverse (BAU vs ADJ)" numFmtId="10">
      <sharedItems containsNonDate="0" containsString="0" containsBlank="1"/>
    </cacheField>
    <cacheField name="VAR_XFactor (BAU vs VUE)" numFmtId="10">
      <sharedItems containsNonDate="0" containsString="0" containsBlank="1"/>
    </cacheField>
    <cacheField name="VAR_XFactor (BAU vs ADJ)" numFmtId="10">
      <sharedItems containsNonDate="0" containsString="0" containsBlank="1"/>
    </cacheField>
    <cacheField name="VAR_ZUniverse" numFmtId="10">
      <sharedItems containsNonDate="0" containsString="0" containsBlank="1"/>
    </cacheField>
    <cacheField name="BAU_N Area-Channel Cell Weight" numFmtId="167">
      <sharedItems containsNonDate="0" containsString="0" containsBlank="1"/>
    </cacheField>
    <cacheField name="BAU_NSPC Area-Channel Cell Weight" numFmtId="167">
      <sharedItems containsNonDate="0" containsString="0" containsBlank="1"/>
    </cacheField>
    <cacheField name="VUE_N Area-Channel Cell Weight" numFmtId="167">
      <sharedItems containsNonDate="0" containsString="0" containsBlank="1"/>
    </cacheField>
    <cacheField name="VUE_NSPC Area-Channel Cell Weight" numFmtId="167">
      <sharedItems containsNonDate="0" containsString="0" containsBlank="1"/>
    </cacheField>
    <cacheField name="ADJ_NSPC Area-Channel Cell Weight" numFmtId="167">
      <sharedItems containsNonDate="0" containsString="0" containsBlank="1"/>
    </cacheField>
    <cacheField name="N Area-Channel Cell Weight diff (BAU vs VUE)" numFmtId="167">
      <sharedItems containsNonDate="0" containsString="0" containsBlank="1"/>
    </cacheField>
    <cacheField name="NSPC Area-Channel Cell Weight diff (BAU vs VUE)" numFmtId="167">
      <sharedItems containsNonDate="0" containsString="0" containsBlank="1"/>
    </cacheField>
    <cacheField name="NSPC Area-Channel Cell Weight diff (BAU vs ADJ)" numFmtId="167">
      <sharedItems containsNonDate="0" containsString="0" containsBlank="1"/>
    </cacheField>
    <cacheField name="NSPC Area-Channel Cell Weight diff (VUE vs ADJ)" numFmtId="167">
      <sharedItems containsNonDate="0" containsString="0" containsBlank="1"/>
    </cacheField>
    <cacheField name="Average BAU Universe" numFmtId="168">
      <sharedItems containsNonDate="0" containsString="0" containsBlank="1"/>
    </cacheField>
    <cacheField name="Average BAU Panel" numFmtId="168">
      <sharedItems containsNonDate="0" containsString="0" containsBlank="1"/>
    </cacheField>
    <cacheField name="Average VUE Universe" numFmtId="168">
      <sharedItems containsNonDate="0" containsString="0" containsBlank="1"/>
    </cacheField>
    <cacheField name="Average VUE Panel" numFmtId="168">
      <sharedItems containsNonDate="0" containsString="0" containsBlank="1"/>
    </cacheField>
    <cacheField name="Average ADJ Universe" numFmtId="168">
      <sharedItems containsNonDate="0" containsString="0" containsBlank="1"/>
    </cacheField>
    <cacheField name="DTest" numFmtId="1">
      <sharedItems containsNonDate="0" containsString="0" containsBlank="1"/>
    </cacheField>
    <cacheField name="NSPCTest" numFmtId="1">
      <sharedItems containsNonDate="0" containsString="0" containsBlank="1"/>
    </cacheField>
    <cacheField name="XFTest" numFmtId="1">
      <sharedItems containsNonDate="0" containsString="0" containsBlank="1"/>
    </cacheField>
    <cacheField name="SignTest" numFmtId="1">
      <sharedItems containsNonDate="0" containsString="0" containsBlank="1"/>
    </cacheField>
    <cacheField name="VarDirectionGapTest" numFmtId="1">
      <sharedItems containsNonDate="0" containsString="0" containsBlank="1"/>
    </cacheField>
    <cacheField name="CellDiagnostic" numFmtId="0">
      <sharedItems containsNonDate="0" containsString="0" containsBlank="1"/>
    </cacheField>
    <cacheField name="Comments"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elayo, Sergio" refreshedDate="45639.718039583335" createdVersion="3" refreshedVersion="8" minRefreshableVersion="3" recordCount="168" xr:uid="{C0A1F686-5FCA-4C21-A301-708704D4E0ED}">
  <cacheSource type="worksheet">
    <worksheetSource ref="A1:BC169" sheet="CellAdj"/>
  </cacheSource>
  <cacheFields count="55">
    <cacheField name="INDEX" numFmtId="49">
      <sharedItems containsNonDate="0" containsString="0" containsBlank="1"/>
    </cacheField>
    <cacheField name="CHANNEL" numFmtId="49">
      <sharedItems containsNonDate="0" containsString="0" containsBlank="1"/>
    </cacheField>
    <cacheField name="SAMPLE" numFmtId="1">
      <sharedItems containsNonDate="0" containsString="0" containsBlank="1"/>
    </cacheField>
    <cacheField name="IBD_ID" numFmtId="1">
      <sharedItems containsNonDate="0" containsString="0" containsBlank="1"/>
    </cacheField>
    <cacheField name="IBD_Name" numFmtId="49">
      <sharedItems containsNonDate="0" containsString="0" containsBlank="1"/>
    </cacheField>
    <cacheField name="Cell_ID" numFmtId="1">
      <sharedItems containsNonDate="0" containsString="0" containsBlank="1"/>
    </cacheField>
    <cacheField name="Cell_Name" numFmtId="49">
      <sharedItems containsNonDate="0" containsString="0" containsBlank="1"/>
    </cacheField>
    <cacheField name="NielsenArea" numFmtId="49">
      <sharedItems containsNonDate="0" containsBlank="1" count="9">
        <m/>
        <s v="FEMSA" u="1"/>
        <s v="ARCA CONTINENTAL" u="1"/>
        <s v="RICA" u="1"/>
        <s v="BEPENSA" u="1"/>
        <s v="CDF" u="1"/>
        <s v="COLIMA" u="1"/>
        <s v="NAYAR" u="1"/>
        <s v="NOGALES" u="1"/>
      </sharedItems>
    </cacheField>
    <cacheField name="StoreTypeChannel" numFmtId="49">
      <sharedItems containsNonDate="0" containsBlank="1" count="2">
        <m/>
        <s v="ON PREMISE" u="1"/>
      </sharedItems>
    </cacheField>
    <cacheField name="StoreType" numFmtId="49">
      <sharedItems containsNonDate="0" containsBlank="1" count="3">
        <m/>
        <s v="Palapa - Puesto Fijo" u="1"/>
        <s v="RSR - RestFonda - RestBar" u="1"/>
      </sharedItems>
    </cacheField>
    <cacheField name="Handler" numFmtId="1">
      <sharedItems containsNonDate="0" containsString="0" containsBlank="1"/>
    </cacheField>
    <cacheField name="BAU_XPanel" numFmtId="3">
      <sharedItems containsNonDate="0" containsString="0" containsBlank="1"/>
    </cacheField>
    <cacheField name="BAU_ZPanel" numFmtId="1">
      <sharedItems containsNonDate="0" containsString="0" containsBlank="1"/>
    </cacheField>
    <cacheField name="BAU_XUniverse" numFmtId="3">
      <sharedItems containsNonDate="0" containsString="0" containsBlank="1"/>
    </cacheField>
    <cacheField name="BAU_ZUniverse" numFmtId="1">
      <sharedItems containsNonDate="0" containsString="0" containsBlank="1"/>
    </cacheField>
    <cacheField name="BAU_XFactor" numFmtId="4">
      <sharedItems containsNonDate="0" containsString="0" containsBlank="1"/>
    </cacheField>
    <cacheField name="BAU_ZFactor" numFmtId="1">
      <sharedItems containsNonDate="0" containsString="0" containsBlank="1"/>
    </cacheField>
    <cacheField name="BAU_XZRatio" numFmtId="9">
      <sharedItems containsNonDate="0" containsString="0" containsBlank="1"/>
    </cacheField>
    <cacheField name="VUE_XUniverse" numFmtId="3">
      <sharedItems containsNonDate="0" containsString="0" containsBlank="1"/>
    </cacheField>
    <cacheField name="VUE_ZUniverse" numFmtId="1">
      <sharedItems containsNonDate="0" containsString="0" containsBlank="1"/>
    </cacheField>
    <cacheField name="VUE_XPanel" numFmtId="3">
      <sharedItems containsNonDate="0" containsString="0" containsBlank="1"/>
    </cacheField>
    <cacheField name="VUE_ZPanel" numFmtId="1">
      <sharedItems containsNonDate="0" containsString="0" containsBlank="1"/>
    </cacheField>
    <cacheField name="VUE_XFactor" numFmtId="4">
      <sharedItems containsNonDate="0" containsString="0" containsBlank="1"/>
    </cacheField>
    <cacheField name="VUE_ZFactor" numFmtId="1">
      <sharedItems containsNonDate="0" containsString="0" containsBlank="1"/>
    </cacheField>
    <cacheField name="VUE_XZRatio" numFmtId="9">
      <sharedItems containsNonDate="0" containsString="0" containsBlank="1"/>
    </cacheField>
    <cacheField name="VUE_XZDistance" numFmtId="164">
      <sharedItems containsNonDate="0" containsString="0" containsBlank="1"/>
    </cacheField>
    <cacheField name="XZ Proposed Distance" numFmtId="165">
      <sharedItems containsNonDate="0" containsString="0" containsBlank="1"/>
    </cacheField>
    <cacheField name="ADJ_XFactor" numFmtId="2">
      <sharedItems containsNonDate="0" containsString="0" containsBlank="1"/>
    </cacheField>
    <cacheField name="ADJ_XUniverse" numFmtId="166">
      <sharedItems containsNonDate="0" containsString="0" containsBlank="1"/>
    </cacheField>
    <cacheField name="VAR_XUniverse (BAU vs VUE)" numFmtId="10">
      <sharedItems containsNonDate="0" containsString="0" containsBlank="1"/>
    </cacheField>
    <cacheField name="VAR_XUniverse (BAU vs ADJ)" numFmtId="10">
      <sharedItems containsNonDate="0" containsString="0" containsBlank="1"/>
    </cacheField>
    <cacheField name="VAR_XFactor (BAU vs VUE)" numFmtId="10">
      <sharedItems containsNonDate="0" containsString="0" containsBlank="1"/>
    </cacheField>
    <cacheField name="VAR_XFactor (BAU vs ADJ)" numFmtId="10">
      <sharedItems containsNonDate="0" containsString="0" containsBlank="1"/>
    </cacheField>
    <cacheField name="VAR_ZUniverse" numFmtId="10">
      <sharedItems containsNonDate="0" containsString="0" containsBlank="1"/>
    </cacheField>
    <cacheField name="BAU_N Area-Channel Cell Weight" numFmtId="167">
      <sharedItems containsNonDate="0" containsString="0" containsBlank="1"/>
    </cacheField>
    <cacheField name="BAU_NSPC Area-Channel Cell Weight" numFmtId="167">
      <sharedItems containsNonDate="0" containsString="0" containsBlank="1"/>
    </cacheField>
    <cacheField name="VUE_N Area-Channel Cell Weight" numFmtId="167">
      <sharedItems containsNonDate="0" containsString="0" containsBlank="1"/>
    </cacheField>
    <cacheField name="VUE_NSPC Area-Channel Cell Weight" numFmtId="167">
      <sharedItems containsNonDate="0" containsString="0" containsBlank="1"/>
    </cacheField>
    <cacheField name="ADJ_NSPC Area-Channel Cell Weight" numFmtId="167">
      <sharedItems containsNonDate="0" containsString="0" containsBlank="1"/>
    </cacheField>
    <cacheField name="N Area-Channel Cell Weight diff (BAU vs VUE)" numFmtId="167">
      <sharedItems containsNonDate="0" containsString="0" containsBlank="1"/>
    </cacheField>
    <cacheField name="NSPC Area-Channel Cell Weight diff (BAU vs VUE)" numFmtId="167">
      <sharedItems containsNonDate="0" containsString="0" containsBlank="1"/>
    </cacheField>
    <cacheField name="NSPC Area-Channel Cell Weight diff (BAU vs ADJ)" numFmtId="167">
      <sharedItems containsNonDate="0" containsString="0" containsBlank="1"/>
    </cacheField>
    <cacheField name="NSPC Area-Channel Cell Weight diff (VUE vs ADJ)" numFmtId="167">
      <sharedItems containsNonDate="0" containsString="0" containsBlank="1"/>
    </cacheField>
    <cacheField name="Average BAU Universe" numFmtId="168">
      <sharedItems containsNonDate="0" containsString="0" containsBlank="1"/>
    </cacheField>
    <cacheField name="Average BAU Panel" numFmtId="168">
      <sharedItems containsNonDate="0" containsString="0" containsBlank="1"/>
    </cacheField>
    <cacheField name="Average VUE Universe" numFmtId="168">
      <sharedItems containsNonDate="0" containsString="0" containsBlank="1"/>
    </cacheField>
    <cacheField name="Average VUE Panel" numFmtId="168">
      <sharedItems containsNonDate="0" containsString="0" containsBlank="1"/>
    </cacheField>
    <cacheField name="Average ADJ Universe" numFmtId="168">
      <sharedItems containsNonDate="0" containsString="0" containsBlank="1"/>
    </cacheField>
    <cacheField name="DTest" numFmtId="1">
      <sharedItems containsNonDate="0" containsString="0" containsBlank="1"/>
    </cacheField>
    <cacheField name="NSPCTest" numFmtId="1">
      <sharedItems containsNonDate="0" containsString="0" containsBlank="1"/>
    </cacheField>
    <cacheField name="XFTest" numFmtId="1">
      <sharedItems containsNonDate="0" containsString="0" containsBlank="1"/>
    </cacheField>
    <cacheField name="SignTest" numFmtId="1">
      <sharedItems containsNonDate="0" containsString="0" containsBlank="1"/>
    </cacheField>
    <cacheField name="VarDirectionGapTest" numFmtId="1">
      <sharedItems containsNonDate="0" containsString="0" containsBlank="1"/>
    </cacheField>
    <cacheField name="CellDiagnostic" numFmtId="0">
      <sharedItems containsNonDate="0" containsString="0" containsBlank="1"/>
    </cacheField>
    <cacheField name="Comments"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elayo, Sergio" refreshedDate="45639.718039814812" createdVersion="3" refreshedVersion="8" minRefreshableVersion="3" recordCount="168" xr:uid="{50AC6B66-97BB-4837-A72F-517436300AB3}">
  <cacheSource type="worksheet">
    <worksheetSource ref="A1:BC169" sheet="CellAdj"/>
  </cacheSource>
  <cacheFields count="55">
    <cacheField name="INDEX" numFmtId="49">
      <sharedItems containsNonDate="0" containsString="0" containsBlank="1"/>
    </cacheField>
    <cacheField name="CHANNEL" numFmtId="49">
      <sharedItems containsNonDate="0" containsString="0" containsBlank="1"/>
    </cacheField>
    <cacheField name="SAMPLE" numFmtId="1">
      <sharedItems containsNonDate="0" containsString="0" containsBlank="1"/>
    </cacheField>
    <cacheField name="IBD_ID" numFmtId="1">
      <sharedItems containsNonDate="0" containsString="0" containsBlank="1"/>
    </cacheField>
    <cacheField name="IBD_Name" numFmtId="49">
      <sharedItems containsNonDate="0" containsString="0" containsBlank="1"/>
    </cacheField>
    <cacheField name="Cell_ID" numFmtId="1">
      <sharedItems containsNonDate="0" containsString="0" containsBlank="1"/>
    </cacheField>
    <cacheField name="Cell_Name" numFmtId="49">
      <sharedItems containsNonDate="0" containsString="0" containsBlank="1"/>
    </cacheField>
    <cacheField name="NielsenArea" numFmtId="49">
      <sharedItems containsNonDate="0" containsBlank="1" count="9">
        <m/>
        <s v="FEMSA" u="1"/>
        <s v="ARCA CONTINENTAL" u="1"/>
        <s v="RICA" u="1"/>
        <s v="BEPENSA" u="1"/>
        <s v="CDF" u="1"/>
        <s v="COLIMA" u="1"/>
        <s v="NAYAR" u="1"/>
        <s v="NOGALES" u="1"/>
      </sharedItems>
    </cacheField>
    <cacheField name="StoreTypeChannel" numFmtId="49">
      <sharedItems containsNonDate="0" containsBlank="1" count="2">
        <m/>
        <s v="ON PREMISE" u="1"/>
      </sharedItems>
    </cacheField>
    <cacheField name="StoreType" numFmtId="49">
      <sharedItems containsNonDate="0" containsBlank="1" count="3">
        <m/>
        <s v="Palapa - Puesto Fijo" u="1"/>
        <s v="RSR - RestFonda - RestBar" u="1"/>
      </sharedItems>
    </cacheField>
    <cacheField name="Handler" numFmtId="1">
      <sharedItems containsNonDate="0" containsString="0" containsBlank="1"/>
    </cacheField>
    <cacheField name="BAU_XPanel" numFmtId="3">
      <sharedItems containsNonDate="0" containsString="0" containsBlank="1"/>
    </cacheField>
    <cacheField name="BAU_ZPanel" numFmtId="1">
      <sharedItems containsNonDate="0" containsString="0" containsBlank="1"/>
    </cacheField>
    <cacheField name="BAU_XUniverse" numFmtId="3">
      <sharedItems containsNonDate="0" containsString="0" containsBlank="1"/>
    </cacheField>
    <cacheField name="BAU_ZUniverse" numFmtId="1">
      <sharedItems containsNonDate="0" containsString="0" containsBlank="1"/>
    </cacheField>
    <cacheField name="BAU_XFactor" numFmtId="4">
      <sharedItems containsNonDate="0" containsString="0" containsBlank="1"/>
    </cacheField>
    <cacheField name="BAU_ZFactor" numFmtId="1">
      <sharedItems containsNonDate="0" containsString="0" containsBlank="1"/>
    </cacheField>
    <cacheField name="BAU_XZRatio" numFmtId="9">
      <sharedItems containsNonDate="0" containsString="0" containsBlank="1"/>
    </cacheField>
    <cacheField name="VUE_XUniverse" numFmtId="3">
      <sharedItems containsNonDate="0" containsString="0" containsBlank="1"/>
    </cacheField>
    <cacheField name="VUE_ZUniverse" numFmtId="1">
      <sharedItems containsNonDate="0" containsString="0" containsBlank="1"/>
    </cacheField>
    <cacheField name="VUE_XPanel" numFmtId="3">
      <sharedItems containsNonDate="0" containsString="0" containsBlank="1"/>
    </cacheField>
    <cacheField name="VUE_ZPanel" numFmtId="1">
      <sharedItems containsNonDate="0" containsString="0" containsBlank="1"/>
    </cacheField>
    <cacheField name="VUE_XFactor" numFmtId="4">
      <sharedItems containsNonDate="0" containsString="0" containsBlank="1"/>
    </cacheField>
    <cacheField name="VUE_ZFactor" numFmtId="1">
      <sharedItems containsNonDate="0" containsString="0" containsBlank="1"/>
    </cacheField>
    <cacheField name="VUE_XZRatio" numFmtId="9">
      <sharedItems containsNonDate="0" containsString="0" containsBlank="1"/>
    </cacheField>
    <cacheField name="VUE_XZDistance" numFmtId="164">
      <sharedItems containsNonDate="0" containsString="0" containsBlank="1"/>
    </cacheField>
    <cacheField name="XZ Proposed Distance" numFmtId="165">
      <sharedItems containsNonDate="0" containsString="0" containsBlank="1"/>
    </cacheField>
    <cacheField name="ADJ_XFactor" numFmtId="2">
      <sharedItems containsNonDate="0" containsString="0" containsBlank="1"/>
    </cacheField>
    <cacheField name="ADJ_XUniverse" numFmtId="166">
      <sharedItems containsNonDate="0" containsString="0" containsBlank="1"/>
    </cacheField>
    <cacheField name="VAR_XUniverse (BAU vs VUE)" numFmtId="10">
      <sharedItems containsNonDate="0" containsString="0" containsBlank="1"/>
    </cacheField>
    <cacheField name="VAR_XUniverse (BAU vs ADJ)" numFmtId="10">
      <sharedItems containsNonDate="0" containsString="0" containsBlank="1"/>
    </cacheField>
    <cacheField name="VAR_XFactor (BAU vs VUE)" numFmtId="10">
      <sharedItems containsNonDate="0" containsString="0" containsBlank="1"/>
    </cacheField>
    <cacheField name="VAR_XFactor (BAU vs ADJ)" numFmtId="10">
      <sharedItems containsNonDate="0" containsString="0" containsBlank="1"/>
    </cacheField>
    <cacheField name="VAR_ZUniverse" numFmtId="10">
      <sharedItems containsNonDate="0" containsString="0" containsBlank="1"/>
    </cacheField>
    <cacheField name="BAU_N Area-Channel Cell Weight" numFmtId="167">
      <sharedItems containsNonDate="0" containsString="0" containsBlank="1"/>
    </cacheField>
    <cacheField name="BAU_NSPC Area-Channel Cell Weight" numFmtId="167">
      <sharedItems containsNonDate="0" containsString="0" containsBlank="1"/>
    </cacheField>
    <cacheField name="VUE_N Area-Channel Cell Weight" numFmtId="167">
      <sharedItems containsNonDate="0" containsString="0" containsBlank="1"/>
    </cacheField>
    <cacheField name="VUE_NSPC Area-Channel Cell Weight" numFmtId="167">
      <sharedItems containsNonDate="0" containsString="0" containsBlank="1"/>
    </cacheField>
    <cacheField name="ADJ_NSPC Area-Channel Cell Weight" numFmtId="167">
      <sharedItems containsNonDate="0" containsString="0" containsBlank="1"/>
    </cacheField>
    <cacheField name="N Area-Channel Cell Weight diff (BAU vs VUE)" numFmtId="167">
      <sharedItems containsNonDate="0" containsString="0" containsBlank="1"/>
    </cacheField>
    <cacheField name="NSPC Area-Channel Cell Weight diff (BAU vs VUE)" numFmtId="167">
      <sharedItems containsNonDate="0" containsString="0" containsBlank="1"/>
    </cacheField>
    <cacheField name="NSPC Area-Channel Cell Weight diff (BAU vs ADJ)" numFmtId="167">
      <sharedItems containsNonDate="0" containsString="0" containsBlank="1"/>
    </cacheField>
    <cacheField name="NSPC Area-Channel Cell Weight diff (VUE vs ADJ)" numFmtId="167">
      <sharedItems containsNonDate="0" containsString="0" containsBlank="1"/>
    </cacheField>
    <cacheField name="Average BAU Universe" numFmtId="168">
      <sharedItems containsNonDate="0" containsString="0" containsBlank="1"/>
    </cacheField>
    <cacheField name="Average BAU Panel" numFmtId="168">
      <sharedItems containsNonDate="0" containsString="0" containsBlank="1"/>
    </cacheField>
    <cacheField name="Average VUE Universe" numFmtId="168">
      <sharedItems containsNonDate="0" containsString="0" containsBlank="1"/>
    </cacheField>
    <cacheField name="Average VUE Panel" numFmtId="168">
      <sharedItems containsNonDate="0" containsString="0" containsBlank="1"/>
    </cacheField>
    <cacheField name="Average ADJ Universe" numFmtId="168">
      <sharedItems containsNonDate="0" containsString="0" containsBlank="1"/>
    </cacheField>
    <cacheField name="DTest" numFmtId="1">
      <sharedItems containsNonDate="0" containsString="0" containsBlank="1"/>
    </cacheField>
    <cacheField name="NSPCTest" numFmtId="1">
      <sharedItems containsNonDate="0" containsString="0" containsBlank="1"/>
    </cacheField>
    <cacheField name="XFTest" numFmtId="1">
      <sharedItems containsNonDate="0" containsString="0" containsBlank="1"/>
    </cacheField>
    <cacheField name="SignTest" numFmtId="1">
      <sharedItems containsNonDate="0" containsString="0" containsBlank="1"/>
    </cacheField>
    <cacheField name="VarDirectionGapTest" numFmtId="1">
      <sharedItems containsNonDate="0" containsString="0" containsBlank="1"/>
    </cacheField>
    <cacheField name="CellDiagnostic" numFmtId="0">
      <sharedItems containsNonDate="0" containsString="0" containsBlank="1"/>
    </cacheField>
    <cacheField name="Comments"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elayo, Sergio" refreshedDate="45639.718039814812" createdVersion="3" refreshedVersion="8" minRefreshableVersion="3" recordCount="168" xr:uid="{42906F4D-6CBD-4B8C-9236-4728B1DB5B83}">
  <cacheSource type="worksheet">
    <worksheetSource ref="A1:BC169" sheet="CellAdj"/>
  </cacheSource>
  <cacheFields count="55">
    <cacheField name="INDEX" numFmtId="49">
      <sharedItems containsNonDate="0" containsString="0" containsBlank="1"/>
    </cacheField>
    <cacheField name="CHANNEL" numFmtId="49">
      <sharedItems containsNonDate="0" containsString="0" containsBlank="1"/>
    </cacheField>
    <cacheField name="SAMPLE" numFmtId="1">
      <sharedItems containsNonDate="0" containsString="0" containsBlank="1"/>
    </cacheField>
    <cacheField name="IBD_ID" numFmtId="1">
      <sharedItems containsNonDate="0" containsString="0" containsBlank="1"/>
    </cacheField>
    <cacheField name="IBD_Name" numFmtId="49">
      <sharedItems containsNonDate="0" containsString="0" containsBlank="1"/>
    </cacheField>
    <cacheField name="Cell_ID" numFmtId="1">
      <sharedItems containsNonDate="0" containsString="0" containsBlank="1"/>
    </cacheField>
    <cacheField name="Cell_Name" numFmtId="49">
      <sharedItems containsNonDate="0" containsString="0" containsBlank="1"/>
    </cacheField>
    <cacheField name="NielsenArea" numFmtId="49">
      <sharedItems containsNonDate="0" containsBlank="1" count="9">
        <m/>
        <s v="FEMSA" u="1"/>
        <s v="ARCA CONTINENTAL" u="1"/>
        <s v="RICA" u="1"/>
        <s v="BEPENSA" u="1"/>
        <s v="CDF" u="1"/>
        <s v="COLIMA" u="1"/>
        <s v="NAYAR" u="1"/>
        <s v="NOGALES" u="1"/>
      </sharedItems>
    </cacheField>
    <cacheField name="StoreTypeChannel" numFmtId="49">
      <sharedItems containsNonDate="0" containsString="0" containsBlank="1"/>
    </cacheField>
    <cacheField name="StoreType" numFmtId="49">
      <sharedItems containsNonDate="0" containsString="0" containsBlank="1"/>
    </cacheField>
    <cacheField name="Handler" numFmtId="1">
      <sharedItems containsNonDate="0" containsString="0" containsBlank="1"/>
    </cacheField>
    <cacheField name="BAU_XPanel" numFmtId="3">
      <sharedItems containsNonDate="0" containsString="0" containsBlank="1"/>
    </cacheField>
    <cacheField name="BAU_ZPanel" numFmtId="1">
      <sharedItems containsNonDate="0" containsString="0" containsBlank="1"/>
    </cacheField>
    <cacheField name="BAU_XUniverse" numFmtId="3">
      <sharedItems containsNonDate="0" containsString="0" containsBlank="1"/>
    </cacheField>
    <cacheField name="BAU_ZUniverse" numFmtId="1">
      <sharedItems containsNonDate="0" containsString="0" containsBlank="1"/>
    </cacheField>
    <cacheField name="BAU_XFactor" numFmtId="4">
      <sharedItems containsNonDate="0" containsString="0" containsBlank="1"/>
    </cacheField>
    <cacheField name="BAU_ZFactor" numFmtId="1">
      <sharedItems containsNonDate="0" containsString="0" containsBlank="1"/>
    </cacheField>
    <cacheField name="BAU_XZRatio" numFmtId="9">
      <sharedItems containsNonDate="0" containsString="0" containsBlank="1"/>
    </cacheField>
    <cacheField name="VUE_XUniverse" numFmtId="3">
      <sharedItems containsNonDate="0" containsString="0" containsBlank="1"/>
    </cacheField>
    <cacheField name="VUE_ZUniverse" numFmtId="1">
      <sharedItems containsNonDate="0" containsString="0" containsBlank="1"/>
    </cacheField>
    <cacheField name="VUE_XPanel" numFmtId="3">
      <sharedItems containsNonDate="0" containsString="0" containsBlank="1"/>
    </cacheField>
    <cacheField name="VUE_ZPanel" numFmtId="1">
      <sharedItems containsNonDate="0" containsString="0" containsBlank="1"/>
    </cacheField>
    <cacheField name="VUE_XFactor" numFmtId="4">
      <sharedItems containsNonDate="0" containsString="0" containsBlank="1"/>
    </cacheField>
    <cacheField name="VUE_ZFactor" numFmtId="1">
      <sharedItems containsNonDate="0" containsString="0" containsBlank="1"/>
    </cacheField>
    <cacheField name="VUE_XZRatio" numFmtId="9">
      <sharedItems containsNonDate="0" containsString="0" containsBlank="1"/>
    </cacheField>
    <cacheField name="VUE_XZDistance" numFmtId="164">
      <sharedItems containsNonDate="0" containsString="0" containsBlank="1"/>
    </cacheField>
    <cacheField name="XZ Proposed Distance" numFmtId="165">
      <sharedItems containsNonDate="0" containsString="0" containsBlank="1"/>
    </cacheField>
    <cacheField name="ADJ_XFactor" numFmtId="2">
      <sharedItems containsNonDate="0" containsString="0" containsBlank="1"/>
    </cacheField>
    <cacheField name="ADJ_XUniverse" numFmtId="166">
      <sharedItems containsNonDate="0" containsString="0" containsBlank="1"/>
    </cacheField>
    <cacheField name="VAR_XUniverse (BAU vs VUE)" numFmtId="10">
      <sharedItems containsNonDate="0" containsString="0" containsBlank="1"/>
    </cacheField>
    <cacheField name="VAR_XUniverse (BAU vs ADJ)" numFmtId="10">
      <sharedItems containsNonDate="0" containsString="0" containsBlank="1"/>
    </cacheField>
    <cacheField name="VAR_XFactor (BAU vs VUE)" numFmtId="10">
      <sharedItems containsNonDate="0" containsString="0" containsBlank="1"/>
    </cacheField>
    <cacheField name="VAR_XFactor (BAU vs ADJ)" numFmtId="10">
      <sharedItems containsNonDate="0" containsString="0" containsBlank="1"/>
    </cacheField>
    <cacheField name="VAR_ZUniverse" numFmtId="10">
      <sharedItems containsNonDate="0" containsString="0" containsBlank="1"/>
    </cacheField>
    <cacheField name="BAU_N Area-Channel Cell Weight" numFmtId="167">
      <sharedItems containsNonDate="0" containsString="0" containsBlank="1"/>
    </cacheField>
    <cacheField name="BAU_NSPC Area-Channel Cell Weight" numFmtId="167">
      <sharedItems containsNonDate="0" containsString="0" containsBlank="1"/>
    </cacheField>
    <cacheField name="VUE_N Area-Channel Cell Weight" numFmtId="167">
      <sharedItems containsNonDate="0" containsString="0" containsBlank="1"/>
    </cacheField>
    <cacheField name="VUE_NSPC Area-Channel Cell Weight" numFmtId="167">
      <sharedItems containsNonDate="0" containsString="0" containsBlank="1"/>
    </cacheField>
    <cacheField name="ADJ_NSPC Area-Channel Cell Weight" numFmtId="167">
      <sharedItems containsNonDate="0" containsString="0" containsBlank="1"/>
    </cacheField>
    <cacheField name="N Area-Channel Cell Weight diff (BAU vs VUE)" numFmtId="167">
      <sharedItems containsNonDate="0" containsString="0" containsBlank="1"/>
    </cacheField>
    <cacheField name="NSPC Area-Channel Cell Weight diff (BAU vs VUE)" numFmtId="167">
      <sharedItems containsNonDate="0" containsString="0" containsBlank="1"/>
    </cacheField>
    <cacheField name="NSPC Area-Channel Cell Weight diff (BAU vs ADJ)" numFmtId="167">
      <sharedItems containsNonDate="0" containsString="0" containsBlank="1"/>
    </cacheField>
    <cacheField name="NSPC Area-Channel Cell Weight diff (VUE vs ADJ)" numFmtId="167">
      <sharedItems containsNonDate="0" containsString="0" containsBlank="1"/>
    </cacheField>
    <cacheField name="Average BAU Universe" numFmtId="168">
      <sharedItems containsNonDate="0" containsString="0" containsBlank="1"/>
    </cacheField>
    <cacheField name="Average BAU Panel" numFmtId="168">
      <sharedItems containsNonDate="0" containsString="0" containsBlank="1"/>
    </cacheField>
    <cacheField name="Average VUE Universe" numFmtId="168">
      <sharedItems containsNonDate="0" containsString="0" containsBlank="1"/>
    </cacheField>
    <cacheField name="Average VUE Panel" numFmtId="168">
      <sharedItems containsNonDate="0" containsString="0" containsBlank="1"/>
    </cacheField>
    <cacheField name="Average ADJ Universe" numFmtId="168">
      <sharedItems containsNonDate="0" containsString="0" containsBlank="1"/>
    </cacheField>
    <cacheField name="DTest" numFmtId="1">
      <sharedItems containsNonDate="0" containsString="0" containsBlank="1"/>
    </cacheField>
    <cacheField name="NSPCTest" numFmtId="1">
      <sharedItems containsNonDate="0" containsString="0" containsBlank="1"/>
    </cacheField>
    <cacheField name="XFTest" numFmtId="1">
      <sharedItems containsNonDate="0" containsString="0" containsBlank="1"/>
    </cacheField>
    <cacheField name="SignTest" numFmtId="1">
      <sharedItems containsNonDate="0" containsString="0" containsBlank="1"/>
    </cacheField>
    <cacheField name="VarDirectionGapTest" numFmtId="1">
      <sharedItems containsNonDate="0" containsString="0" containsBlank="1"/>
    </cacheField>
    <cacheField name="CellDiagnostic" numFmtId="0">
      <sharedItems containsNonDate="0" containsString="0" containsBlank="1"/>
    </cacheField>
    <cacheField name="Comments"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elayo, Sergio" refreshedDate="45639.718039930558" createdVersion="3" refreshedVersion="8" minRefreshableVersion="3" recordCount="168" xr:uid="{3D3E2D46-9F4F-4587-AF34-277905D70E8C}">
  <cacheSource type="worksheet">
    <worksheetSource ref="A1:BC169" sheet="CellAdj"/>
  </cacheSource>
  <cacheFields count="55">
    <cacheField name="INDEX" numFmtId="49">
      <sharedItems containsNonDate="0" containsString="0" containsBlank="1"/>
    </cacheField>
    <cacheField name="CHANNEL" numFmtId="49">
      <sharedItems containsNonDate="0" containsString="0" containsBlank="1"/>
    </cacheField>
    <cacheField name="SAMPLE" numFmtId="1">
      <sharedItems containsNonDate="0" containsString="0" containsBlank="1"/>
    </cacheField>
    <cacheField name="IBD_ID" numFmtId="1">
      <sharedItems containsNonDate="0" containsString="0" containsBlank="1"/>
    </cacheField>
    <cacheField name="IBD_Name" numFmtId="49">
      <sharedItems containsNonDate="0" containsString="0" containsBlank="1"/>
    </cacheField>
    <cacheField name="Cell_ID" numFmtId="1">
      <sharedItems containsNonDate="0" containsString="0" containsBlank="1"/>
    </cacheField>
    <cacheField name="Cell_Name" numFmtId="49">
      <sharedItems containsNonDate="0" containsString="0" containsBlank="1"/>
    </cacheField>
    <cacheField name="NielsenArea" numFmtId="49">
      <sharedItems containsNonDate="0" containsBlank="1" count="9">
        <m/>
        <s v="FEMSA" u="1"/>
        <s v="ARCA CONTINENTAL" u="1"/>
        <s v="RICA" u="1"/>
        <s v="BEPENSA" u="1"/>
        <s v="CDF" u="1"/>
        <s v="COLIMA" u="1"/>
        <s v="NAYAR" u="1"/>
        <s v="NOGALES" u="1"/>
      </sharedItems>
    </cacheField>
    <cacheField name="StoreTypeChannel" numFmtId="49">
      <sharedItems containsNonDate="0" containsBlank="1" count="2">
        <m/>
        <s v="ON PREMISE" u="1"/>
      </sharedItems>
    </cacheField>
    <cacheField name="StoreType" numFmtId="49">
      <sharedItems containsNonDate="0" containsString="0" containsBlank="1"/>
    </cacheField>
    <cacheField name="Handler" numFmtId="1">
      <sharedItems containsNonDate="0" containsString="0" containsBlank="1"/>
    </cacheField>
    <cacheField name="BAU_XPanel" numFmtId="3">
      <sharedItems containsNonDate="0" containsString="0" containsBlank="1"/>
    </cacheField>
    <cacheField name="BAU_ZPanel" numFmtId="1">
      <sharedItems containsNonDate="0" containsString="0" containsBlank="1"/>
    </cacheField>
    <cacheField name="BAU_XUniverse" numFmtId="3">
      <sharedItems containsNonDate="0" containsString="0" containsBlank="1"/>
    </cacheField>
    <cacheField name="BAU_ZUniverse" numFmtId="1">
      <sharedItems containsNonDate="0" containsString="0" containsBlank="1"/>
    </cacheField>
    <cacheField name="BAU_XFactor" numFmtId="4">
      <sharedItems containsNonDate="0" containsString="0" containsBlank="1"/>
    </cacheField>
    <cacheField name="BAU_ZFactor" numFmtId="1">
      <sharedItems containsNonDate="0" containsString="0" containsBlank="1"/>
    </cacheField>
    <cacheField name="BAU_XZRatio" numFmtId="9">
      <sharedItems containsNonDate="0" containsString="0" containsBlank="1"/>
    </cacheField>
    <cacheField name="VUE_XUniverse" numFmtId="3">
      <sharedItems containsNonDate="0" containsString="0" containsBlank="1"/>
    </cacheField>
    <cacheField name="VUE_ZUniverse" numFmtId="1">
      <sharedItems containsNonDate="0" containsString="0" containsBlank="1"/>
    </cacheField>
    <cacheField name="VUE_XPanel" numFmtId="3">
      <sharedItems containsNonDate="0" containsString="0" containsBlank="1"/>
    </cacheField>
    <cacheField name="VUE_ZPanel" numFmtId="1">
      <sharedItems containsNonDate="0" containsString="0" containsBlank="1"/>
    </cacheField>
    <cacheField name="VUE_XFactor" numFmtId="4">
      <sharedItems containsNonDate="0" containsString="0" containsBlank="1"/>
    </cacheField>
    <cacheField name="VUE_ZFactor" numFmtId="1">
      <sharedItems containsNonDate="0" containsString="0" containsBlank="1"/>
    </cacheField>
    <cacheField name="VUE_XZRatio" numFmtId="9">
      <sharedItems containsNonDate="0" containsString="0" containsBlank="1"/>
    </cacheField>
    <cacheField name="VUE_XZDistance" numFmtId="164">
      <sharedItems containsNonDate="0" containsString="0" containsBlank="1"/>
    </cacheField>
    <cacheField name="XZ Proposed Distance" numFmtId="165">
      <sharedItems containsNonDate="0" containsString="0" containsBlank="1"/>
    </cacheField>
    <cacheField name="ADJ_XFactor" numFmtId="2">
      <sharedItems containsNonDate="0" containsString="0" containsBlank="1"/>
    </cacheField>
    <cacheField name="ADJ_XUniverse" numFmtId="166">
      <sharedItems containsNonDate="0" containsString="0" containsBlank="1"/>
    </cacheField>
    <cacheField name="VAR_XUniverse (BAU vs VUE)" numFmtId="10">
      <sharedItems containsNonDate="0" containsString="0" containsBlank="1"/>
    </cacheField>
    <cacheField name="VAR_XUniverse (BAU vs ADJ)" numFmtId="10">
      <sharedItems containsNonDate="0" containsString="0" containsBlank="1"/>
    </cacheField>
    <cacheField name="VAR_XFactor (BAU vs VUE)" numFmtId="10">
      <sharedItems containsNonDate="0" containsString="0" containsBlank="1"/>
    </cacheField>
    <cacheField name="VAR_XFactor (BAU vs ADJ)" numFmtId="10">
      <sharedItems containsNonDate="0" containsString="0" containsBlank="1"/>
    </cacheField>
    <cacheField name="VAR_ZUniverse" numFmtId="10">
      <sharedItems containsNonDate="0" containsString="0" containsBlank="1"/>
    </cacheField>
    <cacheField name="BAU_N Area-Channel Cell Weight" numFmtId="167">
      <sharedItems containsNonDate="0" containsString="0" containsBlank="1"/>
    </cacheField>
    <cacheField name="BAU_NSPC Area-Channel Cell Weight" numFmtId="167">
      <sharedItems containsNonDate="0" containsString="0" containsBlank="1"/>
    </cacheField>
    <cacheField name="VUE_N Area-Channel Cell Weight" numFmtId="167">
      <sharedItems containsNonDate="0" containsString="0" containsBlank="1"/>
    </cacheField>
    <cacheField name="VUE_NSPC Area-Channel Cell Weight" numFmtId="167">
      <sharedItems containsNonDate="0" containsString="0" containsBlank="1"/>
    </cacheField>
    <cacheField name="ADJ_NSPC Area-Channel Cell Weight" numFmtId="167">
      <sharedItems containsNonDate="0" containsString="0" containsBlank="1"/>
    </cacheField>
    <cacheField name="N Area-Channel Cell Weight diff (BAU vs VUE)" numFmtId="167">
      <sharedItems containsNonDate="0" containsString="0" containsBlank="1"/>
    </cacheField>
    <cacheField name="NSPC Area-Channel Cell Weight diff (BAU vs VUE)" numFmtId="167">
      <sharedItems containsNonDate="0" containsString="0" containsBlank="1"/>
    </cacheField>
    <cacheField name="NSPC Area-Channel Cell Weight diff (BAU vs ADJ)" numFmtId="167">
      <sharedItems containsNonDate="0" containsString="0" containsBlank="1"/>
    </cacheField>
    <cacheField name="NSPC Area-Channel Cell Weight diff (VUE vs ADJ)" numFmtId="167">
      <sharedItems containsNonDate="0" containsString="0" containsBlank="1"/>
    </cacheField>
    <cacheField name="Average BAU Universe" numFmtId="168">
      <sharedItems containsNonDate="0" containsString="0" containsBlank="1"/>
    </cacheField>
    <cacheField name="Average BAU Panel" numFmtId="168">
      <sharedItems containsNonDate="0" containsString="0" containsBlank="1"/>
    </cacheField>
    <cacheField name="Average VUE Universe" numFmtId="168">
      <sharedItems containsNonDate="0" containsString="0" containsBlank="1"/>
    </cacheField>
    <cacheField name="Average VUE Panel" numFmtId="168">
      <sharedItems containsNonDate="0" containsString="0" containsBlank="1"/>
    </cacheField>
    <cacheField name="Average ADJ Universe" numFmtId="168">
      <sharedItems containsNonDate="0" containsString="0" containsBlank="1"/>
    </cacheField>
    <cacheField name="DTest" numFmtId="1">
      <sharedItems containsNonDate="0" containsString="0" containsBlank="1"/>
    </cacheField>
    <cacheField name="NSPCTest" numFmtId="1">
      <sharedItems containsNonDate="0" containsString="0" containsBlank="1"/>
    </cacheField>
    <cacheField name="XFTest" numFmtId="1">
      <sharedItems containsNonDate="0" containsString="0" containsBlank="1"/>
    </cacheField>
    <cacheField name="SignTest" numFmtId="1">
      <sharedItems containsNonDate="0" containsString="0" containsBlank="1"/>
    </cacheField>
    <cacheField name="VarDirectionGapTest" numFmtId="1">
      <sharedItems containsNonDate="0" containsString="0" containsBlank="1"/>
    </cacheField>
    <cacheField name="CellDiagnostic" numFmtId="0">
      <sharedItems containsNonDate="0" containsString="0" containsBlank="1"/>
    </cacheField>
    <cacheField name="Comments"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68">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r>
    <m/>
    <m/>
    <m/>
    <m/>
    <m/>
    <m/>
    <x v="0"/>
    <x v="0"/>
    <m/>
    <x v="0"/>
    <m/>
    <m/>
    <m/>
    <m/>
    <m/>
    <m/>
    <m/>
    <m/>
    <m/>
    <m/>
    <m/>
    <m/>
    <m/>
    <m/>
    <m/>
    <m/>
    <m/>
    <m/>
    <m/>
    <m/>
    <m/>
    <m/>
    <m/>
    <m/>
    <m/>
    <m/>
    <m/>
    <m/>
    <m/>
    <m/>
    <m/>
    <m/>
    <m/>
    <m/>
    <m/>
    <m/>
    <m/>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26">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68">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68">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68">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68">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r>
    <m/>
    <m/>
    <m/>
    <m/>
    <m/>
    <m/>
    <m/>
    <x v="0"/>
    <x v="0"/>
    <x v="0"/>
    <m/>
    <m/>
    <m/>
    <m/>
    <m/>
    <m/>
    <m/>
    <m/>
    <m/>
    <m/>
    <m/>
    <m/>
    <m/>
    <m/>
    <m/>
    <m/>
    <m/>
    <m/>
    <m/>
    <m/>
    <m/>
    <m/>
    <m/>
    <m/>
    <m/>
    <m/>
    <m/>
    <m/>
    <m/>
    <m/>
    <m/>
    <m/>
    <m/>
    <m/>
    <m/>
    <m/>
    <m/>
    <m/>
    <m/>
    <m/>
    <m/>
    <m/>
    <m/>
    <m/>
    <m/>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68">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r>
    <m/>
    <m/>
    <m/>
    <m/>
    <m/>
    <m/>
    <m/>
    <x v="0"/>
    <m/>
    <m/>
    <m/>
    <m/>
    <m/>
    <m/>
    <m/>
    <m/>
    <m/>
    <m/>
    <m/>
    <m/>
    <m/>
    <m/>
    <m/>
    <m/>
    <m/>
    <m/>
    <m/>
    <m/>
    <m/>
    <m/>
    <m/>
    <m/>
    <m/>
    <m/>
    <m/>
    <m/>
    <m/>
    <m/>
    <m/>
    <m/>
    <m/>
    <m/>
    <m/>
    <m/>
    <m/>
    <m/>
    <m/>
    <m/>
    <m/>
    <m/>
    <m/>
    <m/>
    <m/>
    <m/>
    <m/>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68">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r>
    <m/>
    <m/>
    <m/>
    <m/>
    <m/>
    <m/>
    <m/>
    <x v="0"/>
    <x v="0"/>
    <m/>
    <m/>
    <m/>
    <m/>
    <m/>
    <m/>
    <m/>
    <m/>
    <m/>
    <m/>
    <m/>
    <m/>
    <m/>
    <m/>
    <m/>
    <m/>
    <m/>
    <m/>
    <m/>
    <m/>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EE62AFB-373D-4366-938E-BA68DF30C7E8}" name="PivotTable3" cacheId="1251"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AA5:AF7" firstHeaderRow="0" firstDataRow="1" firstDataCol="1"/>
  <pivotFields count="55">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items count="9">
        <item m="1" x="1"/>
        <item m="1" x="2"/>
        <item m="1" x="3"/>
        <item m="1" x="4"/>
        <item m="1" x="5"/>
        <item m="1" x="6"/>
        <item m="1" x="7"/>
        <item m="1" x="8"/>
        <item x="0"/>
      </items>
      <extLst>
        <ext xmlns:x14="http://schemas.microsoft.com/office/spreadsheetml/2009/9/main" uri="{2946ED86-A175-432a-8AC1-64E0C546D7DE}">
          <x14:pivotField fillDownLabels="1"/>
        </ext>
      </extLst>
    </pivotField>
    <pivotField axis="axisRow" compact="0" outline="0" showAll="0" defaultSubtotal="0">
      <items count="2">
        <item m="1" x="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dataField="1" compact="0" numFmtId="3" outline="0" showAll="0" defaultSubtotal="0">
      <extLst>
        <ext xmlns:x14="http://schemas.microsoft.com/office/spreadsheetml/2009/9/main" uri="{2946ED86-A175-432a-8AC1-64E0C546D7DE}">
          <x14:pivotField fillDownLabels="1"/>
        </ext>
      </extLst>
    </pivotField>
    <pivotField dataField="1" compact="0" numFmtId="1" outline="0" showAll="0" defaultSubtotal="0">
      <extLst>
        <ext xmlns:x14="http://schemas.microsoft.com/office/spreadsheetml/2009/9/main" uri="{2946ED86-A175-432a-8AC1-64E0C546D7DE}">
          <x14:pivotField fillDownLabels="1"/>
        </ext>
      </extLst>
    </pivotField>
    <pivotField compact="0" numFmtId="4"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dataField="1" compact="0" numFmtId="3" outline="0" showAll="0" defaultSubtotal="0">
      <extLst>
        <ext xmlns:x14="http://schemas.microsoft.com/office/spreadsheetml/2009/9/main" uri="{2946ED86-A175-432a-8AC1-64E0C546D7DE}">
          <x14:pivotField fillDownLabels="1"/>
        </ext>
      </extLst>
    </pivotField>
    <pivotField dataField="1" compact="0" numFmtId="1"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4"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2" outline="0" showAll="0" defaultSubtotal="0">
      <extLst>
        <ext xmlns:x14="http://schemas.microsoft.com/office/spreadsheetml/2009/9/main" uri="{2946ED86-A175-432a-8AC1-64E0C546D7DE}">
          <x14:pivotField fillDownLabels="1"/>
        </ext>
      </extLst>
    </pivotField>
    <pivotField dataField="1" compact="0" numFmtId="166"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s>
  <rowFields count="1">
    <field x="8"/>
  </rowFields>
  <rowItems count="2">
    <i>
      <x v="1"/>
    </i>
    <i t="grand">
      <x/>
    </i>
  </rowItems>
  <colFields count="1">
    <field x="-2"/>
  </colFields>
  <colItems count="5">
    <i>
      <x/>
    </i>
    <i i="1">
      <x v="1"/>
    </i>
    <i i="2">
      <x v="2"/>
    </i>
    <i i="3">
      <x v="3"/>
    </i>
    <i i="4">
      <x v="4"/>
    </i>
  </colItems>
  <dataFields count="5">
    <dataField name="Sum of BAU_ZUniverse" fld="14" baseField="0" baseItem="0"/>
    <dataField name="Sum of VUE_ZUniverse" fld="19" baseField="0" baseItem="0"/>
    <dataField name="Sum of BAU_XUniverse" fld="13" baseField="0" baseItem="0"/>
    <dataField name="Sum of VUE_XUniverse" fld="18" baseField="0" baseItem="0"/>
    <dataField name="Sum of ADJ_XUniverse" fld="28" baseField="0" baseItem="0"/>
  </dataFields>
  <formats count="15">
    <format dxfId="107">
      <pivotArea type="all" dataOnly="0" outline="0" fieldPosition="0"/>
    </format>
    <format dxfId="106">
      <pivotArea outline="0" collapsedLevelsAreSubtotals="1" fieldPosition="0"/>
    </format>
    <format dxfId="105">
      <pivotArea field="7" type="button" dataOnly="0" labelOnly="1" outline="0"/>
    </format>
    <format dxfId="104">
      <pivotArea dataOnly="0" labelOnly="1" grandRow="1" outline="0" fieldPosition="0"/>
    </format>
    <format dxfId="103">
      <pivotArea dataOnly="0" labelOnly="1" outline="0" fieldPosition="0">
        <references count="1">
          <reference field="4294967294" count="5">
            <x v="0"/>
            <x v="1"/>
            <x v="2"/>
            <x v="3"/>
            <x v="4"/>
          </reference>
        </references>
      </pivotArea>
    </format>
    <format dxfId="102">
      <pivotArea type="all" dataOnly="0" outline="0" fieldPosition="0"/>
    </format>
    <format dxfId="101">
      <pivotArea outline="0" collapsedLevelsAreSubtotals="1" fieldPosition="0"/>
    </format>
    <format dxfId="100">
      <pivotArea field="7" type="button" dataOnly="0" labelOnly="1" outline="0"/>
    </format>
    <format dxfId="99">
      <pivotArea dataOnly="0" labelOnly="1" grandRow="1" outline="0" fieldPosition="0"/>
    </format>
    <format dxfId="98">
      <pivotArea dataOnly="0" labelOnly="1" outline="0" fieldPosition="0">
        <references count="1">
          <reference field="4294967294" count="5">
            <x v="0"/>
            <x v="1"/>
            <x v="2"/>
            <x v="3"/>
            <x v="4"/>
          </reference>
        </references>
      </pivotArea>
    </format>
    <format dxfId="97">
      <pivotArea dataOnly="0" labelOnly="1" outline="0" fieldPosition="0">
        <references count="1">
          <reference field="4294967294" count="5">
            <x v="0"/>
            <x v="1"/>
            <x v="2"/>
            <x v="3"/>
            <x v="4"/>
          </reference>
        </references>
      </pivotArea>
    </format>
    <format dxfId="96">
      <pivotArea outline="0" collapsedLevelsAreSubtotals="1" fieldPosition="0"/>
    </format>
    <format dxfId="95">
      <pivotArea dataOnly="0" labelOnly="1" outline="0" fieldPosition="0">
        <references count="1">
          <reference field="4294967294" count="5">
            <x v="0"/>
            <x v="1"/>
            <x v="2"/>
            <x v="3"/>
            <x v="4"/>
          </reference>
        </references>
      </pivotArea>
    </format>
    <format dxfId="94">
      <pivotArea field="8" type="button" dataOnly="0" labelOnly="1" outline="0" axis="axisRow" fieldPosition="0"/>
    </format>
    <format dxfId="93">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D52A48B-EA2A-478C-80C0-D9F1B2638351}" name="PivotTable2" cacheId="1246"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A5:F7" firstHeaderRow="0" firstDataRow="1" firstDataCol="1"/>
  <pivotFields count="55">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9">
        <item m="1" x="1"/>
        <item m="1" x="2"/>
        <item m="1" x="3"/>
        <item m="1" x="4"/>
        <item m="1" x="5"/>
        <item m="1" x="6"/>
        <item m="1" x="7"/>
        <item m="1" x="8"/>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dataField="1" compact="0" numFmtId="3" outline="0" showAll="0" defaultSubtotal="0">
      <extLst>
        <ext xmlns:x14="http://schemas.microsoft.com/office/spreadsheetml/2009/9/main" uri="{2946ED86-A175-432a-8AC1-64E0C546D7DE}">
          <x14:pivotField fillDownLabels="1"/>
        </ext>
      </extLst>
    </pivotField>
    <pivotField dataField="1" compact="0" numFmtId="1" outline="0" showAll="0" defaultSubtotal="0">
      <extLst>
        <ext xmlns:x14="http://schemas.microsoft.com/office/spreadsheetml/2009/9/main" uri="{2946ED86-A175-432a-8AC1-64E0C546D7DE}">
          <x14:pivotField fillDownLabels="1"/>
        </ext>
      </extLst>
    </pivotField>
    <pivotField compact="0" numFmtId="4"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dataField="1" compact="0" numFmtId="3" outline="0" showAll="0" defaultSubtotal="0">
      <extLst>
        <ext xmlns:x14="http://schemas.microsoft.com/office/spreadsheetml/2009/9/main" uri="{2946ED86-A175-432a-8AC1-64E0C546D7DE}">
          <x14:pivotField fillDownLabels="1"/>
        </ext>
      </extLst>
    </pivotField>
    <pivotField dataField="1" compact="0" numFmtId="1"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4"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2" outline="0" showAll="0" defaultSubtotal="0">
      <extLst>
        <ext xmlns:x14="http://schemas.microsoft.com/office/spreadsheetml/2009/9/main" uri="{2946ED86-A175-432a-8AC1-64E0C546D7DE}">
          <x14:pivotField fillDownLabels="1"/>
        </ext>
      </extLst>
    </pivotField>
    <pivotField dataField="1" compact="0" numFmtId="166"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s>
  <rowFields count="1">
    <field x="7"/>
  </rowFields>
  <rowItems count="2">
    <i>
      <x v="8"/>
    </i>
    <i t="grand">
      <x/>
    </i>
  </rowItems>
  <colFields count="1">
    <field x="-2"/>
  </colFields>
  <colItems count="5">
    <i>
      <x/>
    </i>
    <i i="1">
      <x v="1"/>
    </i>
    <i i="2">
      <x v="2"/>
    </i>
    <i i="3">
      <x v="3"/>
    </i>
    <i i="4">
      <x v="4"/>
    </i>
  </colItems>
  <dataFields count="5">
    <dataField name="Sum of BAU_ZUniverse" fld="14" baseField="0" baseItem="0"/>
    <dataField name="Sum of VUE_ZUniverse" fld="19" baseField="0" baseItem="0"/>
    <dataField name="Sum of BAU_XUniverse" fld="13" baseField="0" baseItem="0"/>
    <dataField name="Sum of VUE_XUniverse" fld="18" baseField="0" baseItem="0"/>
    <dataField name="Sum of ADJ_XUniverse" fld="28" baseField="0" baseItem="0"/>
  </dataFields>
  <formats count="15">
    <format dxfId="122">
      <pivotArea type="all" dataOnly="0" outline="0" fieldPosition="0"/>
    </format>
    <format dxfId="121">
      <pivotArea outline="0" collapsedLevelsAreSubtotals="1" fieldPosition="0"/>
    </format>
    <format dxfId="120">
      <pivotArea field="7" type="button" dataOnly="0" labelOnly="1" outline="0" axis="axisRow" fieldPosition="0"/>
    </format>
    <format dxfId="119">
      <pivotArea dataOnly="0" labelOnly="1" outline="0" fieldPosition="0">
        <references count="1">
          <reference field="7" count="0"/>
        </references>
      </pivotArea>
    </format>
    <format dxfId="118">
      <pivotArea dataOnly="0" labelOnly="1" grandRow="1" outline="0" fieldPosition="0"/>
    </format>
    <format dxfId="117">
      <pivotArea dataOnly="0" labelOnly="1" outline="0" fieldPosition="0">
        <references count="1">
          <reference field="4294967294" count="5">
            <x v="0"/>
            <x v="1"/>
            <x v="2"/>
            <x v="3"/>
            <x v="4"/>
          </reference>
        </references>
      </pivotArea>
    </format>
    <format dxfId="116">
      <pivotArea type="all" dataOnly="0" outline="0" fieldPosition="0"/>
    </format>
    <format dxfId="115">
      <pivotArea outline="0" collapsedLevelsAreSubtotals="1" fieldPosition="0"/>
    </format>
    <format dxfId="114">
      <pivotArea field="7" type="button" dataOnly="0" labelOnly="1" outline="0" axis="axisRow" fieldPosition="0"/>
    </format>
    <format dxfId="113">
      <pivotArea dataOnly="0" labelOnly="1" outline="0" fieldPosition="0">
        <references count="1">
          <reference field="7" count="0"/>
        </references>
      </pivotArea>
    </format>
    <format dxfId="112">
      <pivotArea dataOnly="0" labelOnly="1" grandRow="1" outline="0" fieldPosition="0"/>
    </format>
    <format dxfId="111">
      <pivotArea dataOnly="0" labelOnly="1" outline="0" fieldPosition="0">
        <references count="1">
          <reference field="4294967294" count="5">
            <x v="0"/>
            <x v="1"/>
            <x v="2"/>
            <x v="3"/>
            <x v="4"/>
          </reference>
        </references>
      </pivotArea>
    </format>
    <format dxfId="110">
      <pivotArea dataOnly="0" labelOnly="1" outline="0" fieldPosition="0">
        <references count="1">
          <reference field="4294967294" count="5">
            <x v="0"/>
            <x v="1"/>
            <x v="2"/>
            <x v="3"/>
            <x v="4"/>
          </reference>
        </references>
      </pivotArea>
    </format>
    <format dxfId="109">
      <pivotArea outline="0" collapsedLevelsAreSubtotals="1" fieldPosition="0"/>
    </format>
    <format dxfId="108">
      <pivotArea dataOnly="0" labelOnly="1" outline="0" fieldPosition="0">
        <references count="1">
          <reference field="4294967294" count="5">
            <x v="0"/>
            <x v="1"/>
            <x v="2"/>
            <x v="3"/>
            <x v="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39C77B0-481C-4462-AED8-D2C450ED27E9}" name="PivotTable7" cacheId="1242"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EA5:EH7" firstHeaderRow="0" firstDataRow="1" firstDataCol="3"/>
  <pivotFields count="55">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9">
        <item m="1" x="1"/>
        <item m="1" x="2"/>
        <item m="1" x="3"/>
        <item m="1" x="4"/>
        <item m="1" x="5"/>
        <item m="1" x="6"/>
        <item m="1" x="7"/>
        <item m="1" x="8"/>
        <item x="0"/>
      </items>
      <extLst>
        <ext xmlns:x14="http://schemas.microsoft.com/office/spreadsheetml/2009/9/main" uri="{2946ED86-A175-432a-8AC1-64E0C546D7DE}">
          <x14:pivotField fillDownLabels="1"/>
        </ext>
      </extLst>
    </pivotField>
    <pivotField axis="axisRow" compact="0" outline="0" showAll="0" defaultSubtotal="0">
      <items count="2">
        <item m="1" x="1"/>
        <item x="0"/>
      </items>
      <extLst>
        <ext xmlns:x14="http://schemas.microsoft.com/office/spreadsheetml/2009/9/main" uri="{2946ED86-A175-432a-8AC1-64E0C546D7DE}">
          <x14:pivotField fillDownLabels="1"/>
        </ext>
      </extLst>
    </pivotField>
    <pivotField axis="axisRow" compact="0" outline="0" showAll="0" defaultSubtotal="0">
      <items count="3">
        <item m="1" x="1"/>
        <item m="1" x="2"/>
        <item x="0"/>
      </items>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dataField="1" compact="0" numFmtId="3" outline="0" showAll="0" defaultSubtotal="0">
      <extLst>
        <ext xmlns:x14="http://schemas.microsoft.com/office/spreadsheetml/2009/9/main" uri="{2946ED86-A175-432a-8AC1-64E0C546D7DE}">
          <x14:pivotField fillDownLabels="1"/>
        </ext>
      </extLst>
    </pivotField>
    <pivotField dataField="1" compact="0" numFmtId="1" outline="0" showAll="0" defaultSubtotal="0">
      <extLst>
        <ext xmlns:x14="http://schemas.microsoft.com/office/spreadsheetml/2009/9/main" uri="{2946ED86-A175-432a-8AC1-64E0C546D7DE}">
          <x14:pivotField fillDownLabels="1"/>
        </ext>
      </extLst>
    </pivotField>
    <pivotField compact="0" numFmtId="4"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dataField="1" compact="0" numFmtId="3" outline="0" showAll="0" defaultSubtotal="0">
      <extLst>
        <ext xmlns:x14="http://schemas.microsoft.com/office/spreadsheetml/2009/9/main" uri="{2946ED86-A175-432a-8AC1-64E0C546D7DE}">
          <x14:pivotField fillDownLabels="1"/>
        </ext>
      </extLst>
    </pivotField>
    <pivotField dataField="1" compact="0" numFmtId="1"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4"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2" outline="0" showAll="0" defaultSubtotal="0">
      <extLst>
        <ext xmlns:x14="http://schemas.microsoft.com/office/spreadsheetml/2009/9/main" uri="{2946ED86-A175-432a-8AC1-64E0C546D7DE}">
          <x14:pivotField fillDownLabels="1"/>
        </ext>
      </extLst>
    </pivotField>
    <pivotField dataField="1" compact="0" numFmtId="166"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s>
  <rowFields count="3">
    <field x="7"/>
    <field x="8"/>
    <field x="9"/>
  </rowFields>
  <rowItems count="2">
    <i>
      <x v="8"/>
      <x v="1"/>
      <x v="2"/>
    </i>
    <i t="grand">
      <x/>
    </i>
  </rowItems>
  <colFields count="1">
    <field x="-2"/>
  </colFields>
  <colItems count="5">
    <i>
      <x/>
    </i>
    <i i="1">
      <x v="1"/>
    </i>
    <i i="2">
      <x v="2"/>
    </i>
    <i i="3">
      <x v="3"/>
    </i>
    <i i="4">
      <x v="4"/>
    </i>
  </colItems>
  <dataFields count="5">
    <dataField name="Sum of BAU_ZUniverse" fld="14" baseField="0" baseItem="0"/>
    <dataField name="Sum of VUE_ZUniverse" fld="19" baseField="0" baseItem="0"/>
    <dataField name="Sum of BAU_XUniverse" fld="13" baseField="0" baseItem="0"/>
    <dataField name="Sum of VUE_XUniverse" fld="18" baseField="0" baseItem="0"/>
    <dataField name="Sum of ADJ_XUniverse" fld="28" baseField="0" baseItem="0"/>
  </dataFields>
  <formats count="15">
    <format dxfId="137">
      <pivotArea type="all" dataOnly="0" outline="0" fieldPosition="0"/>
    </format>
    <format dxfId="136">
      <pivotArea outline="0" collapsedLevelsAreSubtotals="1" fieldPosition="0"/>
    </format>
    <format dxfId="135">
      <pivotArea field="7" type="button" dataOnly="0" labelOnly="1" outline="0" axis="axisRow" fieldPosition="0"/>
    </format>
    <format dxfId="134">
      <pivotArea dataOnly="0" labelOnly="1" grandRow="1" outline="0" fieldPosition="0"/>
    </format>
    <format dxfId="133">
      <pivotArea dataOnly="0" labelOnly="1" outline="0" fieldPosition="0">
        <references count="1">
          <reference field="4294967294" count="5">
            <x v="0"/>
            <x v="1"/>
            <x v="2"/>
            <x v="3"/>
            <x v="4"/>
          </reference>
        </references>
      </pivotArea>
    </format>
    <format dxfId="132">
      <pivotArea type="all" dataOnly="0" outline="0" fieldPosition="0"/>
    </format>
    <format dxfId="131">
      <pivotArea outline="0" collapsedLevelsAreSubtotals="1" fieldPosition="0"/>
    </format>
    <format dxfId="130">
      <pivotArea field="7" type="button" dataOnly="0" labelOnly="1" outline="0" axis="axisRow" fieldPosition="0"/>
    </format>
    <format dxfId="129">
      <pivotArea dataOnly="0" labelOnly="1" grandRow="1" outline="0" fieldPosition="0"/>
    </format>
    <format dxfId="128">
      <pivotArea dataOnly="0" labelOnly="1" outline="0" fieldPosition="0">
        <references count="1">
          <reference field="4294967294" count="5">
            <x v="0"/>
            <x v="1"/>
            <x v="2"/>
            <x v="3"/>
            <x v="4"/>
          </reference>
        </references>
      </pivotArea>
    </format>
    <format dxfId="127">
      <pivotArea dataOnly="0" labelOnly="1" outline="0" fieldPosition="0">
        <references count="1">
          <reference field="4294967294" count="5">
            <x v="0"/>
            <x v="1"/>
            <x v="2"/>
            <x v="3"/>
            <x v="4"/>
          </reference>
        </references>
      </pivotArea>
    </format>
    <format dxfId="126">
      <pivotArea outline="0" collapsedLevelsAreSubtotals="1" fieldPosition="0"/>
    </format>
    <format dxfId="125">
      <pivotArea dataOnly="0" labelOnly="1" outline="0" fieldPosition="0">
        <references count="1">
          <reference field="4294967294" count="5">
            <x v="0"/>
            <x v="1"/>
            <x v="2"/>
            <x v="3"/>
            <x v="4"/>
          </reference>
        </references>
      </pivotArea>
    </format>
    <format dxfId="124">
      <pivotArea field="8" type="button" dataOnly="0" labelOnly="1" outline="0" axis="axisRow" fieldPosition="1"/>
    </format>
    <format dxfId="123">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B6BFD05-5E72-4D8E-8BF2-AEEC15E8EB71}" name="PivotTable6" cacheId="1236"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DA5:DG7" firstHeaderRow="0" firstDataRow="1" firstDataCol="2"/>
  <pivotFields count="55">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9">
        <item m="1" x="1"/>
        <item m="1" x="2"/>
        <item m="1" x="3"/>
        <item m="1" x="4"/>
        <item m="1" x="5"/>
        <item m="1" x="6"/>
        <item m="1" x="7"/>
        <item m="1" x="8"/>
        <item x="0"/>
      </items>
      <extLst>
        <ext xmlns:x14="http://schemas.microsoft.com/office/spreadsheetml/2009/9/main" uri="{2946ED86-A175-432a-8AC1-64E0C546D7DE}">
          <x14:pivotField fillDownLabels="1"/>
        </ext>
      </extLst>
    </pivotField>
    <pivotField compact="0" outline="0" showAll="0" defaultSubtotal="0">
      <items count="2">
        <item m="1" x="1"/>
        <item x="0"/>
      </items>
      <extLst>
        <ext xmlns:x14="http://schemas.microsoft.com/office/spreadsheetml/2009/9/main" uri="{2946ED86-A175-432a-8AC1-64E0C546D7DE}">
          <x14:pivotField fillDownLabels="1"/>
        </ext>
      </extLst>
    </pivotField>
    <pivotField axis="axisRow" compact="0" outline="0" showAll="0" defaultSubtotal="0">
      <items count="3">
        <item m="1" x="1"/>
        <item m="1" x="2"/>
        <item x="0"/>
      </items>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dataField="1" compact="0" numFmtId="3" outline="0" showAll="0" defaultSubtotal="0">
      <extLst>
        <ext xmlns:x14="http://schemas.microsoft.com/office/spreadsheetml/2009/9/main" uri="{2946ED86-A175-432a-8AC1-64E0C546D7DE}">
          <x14:pivotField fillDownLabels="1"/>
        </ext>
      </extLst>
    </pivotField>
    <pivotField dataField="1" compact="0" numFmtId="1" outline="0" showAll="0" defaultSubtotal="0">
      <extLst>
        <ext xmlns:x14="http://schemas.microsoft.com/office/spreadsheetml/2009/9/main" uri="{2946ED86-A175-432a-8AC1-64E0C546D7DE}">
          <x14:pivotField fillDownLabels="1"/>
        </ext>
      </extLst>
    </pivotField>
    <pivotField compact="0" numFmtId="4"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dataField="1" compact="0" numFmtId="3" outline="0" showAll="0" defaultSubtotal="0">
      <extLst>
        <ext xmlns:x14="http://schemas.microsoft.com/office/spreadsheetml/2009/9/main" uri="{2946ED86-A175-432a-8AC1-64E0C546D7DE}">
          <x14:pivotField fillDownLabels="1"/>
        </ext>
      </extLst>
    </pivotField>
    <pivotField dataField="1" compact="0" numFmtId="1"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4"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2" outline="0" showAll="0" defaultSubtotal="0">
      <extLst>
        <ext xmlns:x14="http://schemas.microsoft.com/office/spreadsheetml/2009/9/main" uri="{2946ED86-A175-432a-8AC1-64E0C546D7DE}">
          <x14:pivotField fillDownLabels="1"/>
        </ext>
      </extLst>
    </pivotField>
    <pivotField dataField="1" compact="0" numFmtId="166"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s>
  <rowFields count="2">
    <field x="7"/>
    <field x="9"/>
  </rowFields>
  <rowItems count="2">
    <i>
      <x v="8"/>
      <x v="2"/>
    </i>
    <i t="grand">
      <x/>
    </i>
  </rowItems>
  <colFields count="1">
    <field x="-2"/>
  </colFields>
  <colItems count="5">
    <i>
      <x/>
    </i>
    <i i="1">
      <x v="1"/>
    </i>
    <i i="2">
      <x v="2"/>
    </i>
    <i i="3">
      <x v="3"/>
    </i>
    <i i="4">
      <x v="4"/>
    </i>
  </colItems>
  <dataFields count="5">
    <dataField name="Sum of BAU_ZUniverse" fld="14" baseField="0" baseItem="0"/>
    <dataField name="Sum of VUE_ZUniverse" fld="19" baseField="0" baseItem="0"/>
    <dataField name="Sum of BAU_XUniverse" fld="13" baseField="0" baseItem="0"/>
    <dataField name="Sum of VUE_XUniverse" fld="18" baseField="0" baseItem="0"/>
    <dataField name="Sum of ADJ_XUniverse" fld="28" baseField="0" baseItem="0"/>
  </dataFields>
  <formats count="15">
    <format dxfId="152">
      <pivotArea type="all" dataOnly="0" outline="0" fieldPosition="0"/>
    </format>
    <format dxfId="151">
      <pivotArea outline="0" collapsedLevelsAreSubtotals="1" fieldPosition="0"/>
    </format>
    <format dxfId="150">
      <pivotArea field="7" type="button" dataOnly="0" labelOnly="1" outline="0" axis="axisRow" fieldPosition="0"/>
    </format>
    <format dxfId="149">
      <pivotArea dataOnly="0" labelOnly="1" grandRow="1" outline="0" fieldPosition="0"/>
    </format>
    <format dxfId="148">
      <pivotArea dataOnly="0" labelOnly="1" outline="0" fieldPosition="0">
        <references count="1">
          <reference field="4294967294" count="5">
            <x v="0"/>
            <x v="1"/>
            <x v="2"/>
            <x v="3"/>
            <x v="4"/>
          </reference>
        </references>
      </pivotArea>
    </format>
    <format dxfId="147">
      <pivotArea type="all" dataOnly="0" outline="0" fieldPosition="0"/>
    </format>
    <format dxfId="146">
      <pivotArea outline="0" collapsedLevelsAreSubtotals="1" fieldPosition="0"/>
    </format>
    <format dxfId="145">
      <pivotArea field="7" type="button" dataOnly="0" labelOnly="1" outline="0" axis="axisRow" fieldPosition="0"/>
    </format>
    <format dxfId="144">
      <pivotArea dataOnly="0" labelOnly="1" grandRow="1" outline="0" fieldPosition="0"/>
    </format>
    <format dxfId="143">
      <pivotArea dataOnly="0" labelOnly="1" outline="0" fieldPosition="0">
        <references count="1">
          <reference field="4294967294" count="5">
            <x v="0"/>
            <x v="1"/>
            <x v="2"/>
            <x v="3"/>
            <x v="4"/>
          </reference>
        </references>
      </pivotArea>
    </format>
    <format dxfId="142">
      <pivotArea dataOnly="0" labelOnly="1" outline="0" fieldPosition="0">
        <references count="1">
          <reference field="4294967294" count="5">
            <x v="0"/>
            <x v="1"/>
            <x v="2"/>
            <x v="3"/>
            <x v="4"/>
          </reference>
        </references>
      </pivotArea>
    </format>
    <format dxfId="141">
      <pivotArea outline="0" collapsedLevelsAreSubtotals="1" fieldPosition="0"/>
    </format>
    <format dxfId="140">
      <pivotArea dataOnly="0" labelOnly="1" outline="0" fieldPosition="0">
        <references count="1">
          <reference field="4294967294" count="5">
            <x v="0"/>
            <x v="1"/>
            <x v="2"/>
            <x v="3"/>
            <x v="4"/>
          </reference>
        </references>
      </pivotArea>
    </format>
    <format dxfId="139">
      <pivotArea field="8" type="button" dataOnly="0" labelOnly="1" outline="0"/>
    </format>
    <format dxfId="138">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3D5550A-C0FD-4491-A10D-B0EDCAF50C2E}" name="PivotTable5" cacheId="123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CA5:CG7" firstHeaderRow="0" firstDataRow="1" firstDataCol="2"/>
  <pivotFields count="55">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9">
        <item m="1" x="1"/>
        <item m="1" x="2"/>
        <item m="1" x="3"/>
        <item m="1" x="4"/>
        <item m="1" x="5"/>
        <item m="1" x="6"/>
        <item m="1" x="7"/>
        <item m="1" x="8"/>
        <item x="0"/>
      </items>
      <extLst>
        <ext xmlns:x14="http://schemas.microsoft.com/office/spreadsheetml/2009/9/main" uri="{2946ED86-A175-432a-8AC1-64E0C546D7DE}">
          <x14:pivotField fillDownLabels="1"/>
        </ext>
      </extLst>
    </pivotField>
    <pivotField axis="axisRow" compact="0" outline="0" showAll="0" defaultSubtotal="0">
      <items count="2">
        <item m="1" x="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dataField="1" compact="0" numFmtId="3" outline="0" showAll="0" defaultSubtotal="0">
      <extLst>
        <ext xmlns:x14="http://schemas.microsoft.com/office/spreadsheetml/2009/9/main" uri="{2946ED86-A175-432a-8AC1-64E0C546D7DE}">
          <x14:pivotField fillDownLabels="1"/>
        </ext>
      </extLst>
    </pivotField>
    <pivotField dataField="1" compact="0" numFmtId="1" outline="0" showAll="0" defaultSubtotal="0">
      <extLst>
        <ext xmlns:x14="http://schemas.microsoft.com/office/spreadsheetml/2009/9/main" uri="{2946ED86-A175-432a-8AC1-64E0C546D7DE}">
          <x14:pivotField fillDownLabels="1"/>
        </ext>
      </extLst>
    </pivotField>
    <pivotField compact="0" numFmtId="4"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dataField="1" compact="0" numFmtId="3" outline="0" showAll="0" defaultSubtotal="0">
      <extLst>
        <ext xmlns:x14="http://schemas.microsoft.com/office/spreadsheetml/2009/9/main" uri="{2946ED86-A175-432a-8AC1-64E0C546D7DE}">
          <x14:pivotField fillDownLabels="1"/>
        </ext>
      </extLst>
    </pivotField>
    <pivotField dataField="1" compact="0" numFmtId="1"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4"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2" outline="0" showAll="0" defaultSubtotal="0">
      <extLst>
        <ext xmlns:x14="http://schemas.microsoft.com/office/spreadsheetml/2009/9/main" uri="{2946ED86-A175-432a-8AC1-64E0C546D7DE}">
          <x14:pivotField fillDownLabels="1"/>
        </ext>
      </extLst>
    </pivotField>
    <pivotField dataField="1" compact="0" numFmtId="166"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s>
  <rowFields count="2">
    <field x="7"/>
    <field x="8"/>
  </rowFields>
  <rowItems count="2">
    <i>
      <x v="8"/>
      <x v="1"/>
    </i>
    <i t="grand">
      <x/>
    </i>
  </rowItems>
  <colFields count="1">
    <field x="-2"/>
  </colFields>
  <colItems count="5">
    <i>
      <x/>
    </i>
    <i i="1">
      <x v="1"/>
    </i>
    <i i="2">
      <x v="2"/>
    </i>
    <i i="3">
      <x v="3"/>
    </i>
    <i i="4">
      <x v="4"/>
    </i>
  </colItems>
  <dataFields count="5">
    <dataField name="Sum of BAU_ZUniverse" fld="14" baseField="0" baseItem="0"/>
    <dataField name="Sum of VUE_ZUniverse" fld="19" baseField="0" baseItem="0"/>
    <dataField name="Sum of BAU_XUniverse" fld="13" baseField="0" baseItem="0"/>
    <dataField name="Sum of VUE_XUniverse" fld="18" baseField="0" baseItem="0"/>
    <dataField name="Sum of ADJ_XUniverse" fld="28" baseField="0" baseItem="0"/>
  </dataFields>
  <formats count="15">
    <format dxfId="167">
      <pivotArea type="all" dataOnly="0" outline="0" fieldPosition="0"/>
    </format>
    <format dxfId="166">
      <pivotArea outline="0" collapsedLevelsAreSubtotals="1" fieldPosition="0"/>
    </format>
    <format dxfId="165">
      <pivotArea field="7" type="button" dataOnly="0" labelOnly="1" outline="0" axis="axisRow" fieldPosition="0"/>
    </format>
    <format dxfId="164">
      <pivotArea dataOnly="0" labelOnly="1" grandRow="1" outline="0" fieldPosition="0"/>
    </format>
    <format dxfId="163">
      <pivotArea dataOnly="0" labelOnly="1" outline="0" fieldPosition="0">
        <references count="1">
          <reference field="4294967294" count="5">
            <x v="0"/>
            <x v="1"/>
            <x v="2"/>
            <x v="3"/>
            <x v="4"/>
          </reference>
        </references>
      </pivotArea>
    </format>
    <format dxfId="162">
      <pivotArea type="all" dataOnly="0" outline="0" fieldPosition="0"/>
    </format>
    <format dxfId="161">
      <pivotArea outline="0" collapsedLevelsAreSubtotals="1" fieldPosition="0"/>
    </format>
    <format dxfId="160">
      <pivotArea field="7" type="button" dataOnly="0" labelOnly="1" outline="0" axis="axisRow" fieldPosition="0"/>
    </format>
    <format dxfId="159">
      <pivotArea dataOnly="0" labelOnly="1" grandRow="1" outline="0" fieldPosition="0"/>
    </format>
    <format dxfId="158">
      <pivotArea dataOnly="0" labelOnly="1" outline="0" fieldPosition="0">
        <references count="1">
          <reference field="4294967294" count="5">
            <x v="0"/>
            <x v="1"/>
            <x v="2"/>
            <x v="3"/>
            <x v="4"/>
          </reference>
        </references>
      </pivotArea>
    </format>
    <format dxfId="157">
      <pivotArea dataOnly="0" labelOnly="1" outline="0" fieldPosition="0">
        <references count="1">
          <reference field="4294967294" count="5">
            <x v="0"/>
            <x v="1"/>
            <x v="2"/>
            <x v="3"/>
            <x v="4"/>
          </reference>
        </references>
      </pivotArea>
    </format>
    <format dxfId="156">
      <pivotArea outline="0" collapsedLevelsAreSubtotals="1" fieldPosition="0"/>
    </format>
    <format dxfId="155">
      <pivotArea dataOnly="0" labelOnly="1" outline="0" fieldPosition="0">
        <references count="1">
          <reference field="4294967294" count="5">
            <x v="0"/>
            <x v="1"/>
            <x v="2"/>
            <x v="3"/>
            <x v="4"/>
          </reference>
        </references>
      </pivotArea>
    </format>
    <format dxfId="154">
      <pivotArea field="8" type="button" dataOnly="0" labelOnly="1" outline="0" axis="axisRow" fieldPosition="1"/>
    </format>
    <format dxfId="153">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07F3B1A-F9B4-4350-B0CF-DC81DEA1A308}" name="PivotTable4" cacheId="1225"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BA5:BF7" firstHeaderRow="0" firstDataRow="1" firstDataCol="1"/>
  <pivotFields count="55">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items count="9">
        <item m="1" x="1"/>
        <item m="1" x="2"/>
        <item m="1" x="3"/>
        <item m="1" x="4"/>
        <item m="1" x="5"/>
        <item m="1" x="6"/>
        <item m="1" x="7"/>
        <item m="1" x="8"/>
        <item x="0"/>
      </items>
      <extLst>
        <ext xmlns:x14="http://schemas.microsoft.com/office/spreadsheetml/2009/9/main" uri="{2946ED86-A175-432a-8AC1-64E0C546D7DE}">
          <x14:pivotField fillDownLabels="1"/>
        </ext>
      </extLst>
    </pivotField>
    <pivotField compact="0" outline="0" showAll="0" defaultSubtotal="0">
      <items count="2">
        <item m="1" x="1"/>
        <item x="0"/>
      </items>
      <extLst>
        <ext xmlns:x14="http://schemas.microsoft.com/office/spreadsheetml/2009/9/main" uri="{2946ED86-A175-432a-8AC1-64E0C546D7DE}">
          <x14:pivotField fillDownLabels="1"/>
        </ext>
      </extLst>
    </pivotField>
    <pivotField axis="axisRow" compact="0" outline="0" showAll="0" defaultSubtotal="0">
      <items count="3">
        <item m="1" x="1"/>
        <item m="1" x="2"/>
        <item x="0"/>
      </items>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dataField="1" compact="0" numFmtId="3" outline="0" showAll="0" defaultSubtotal="0">
      <extLst>
        <ext xmlns:x14="http://schemas.microsoft.com/office/spreadsheetml/2009/9/main" uri="{2946ED86-A175-432a-8AC1-64E0C546D7DE}">
          <x14:pivotField fillDownLabels="1"/>
        </ext>
      </extLst>
    </pivotField>
    <pivotField dataField="1" compact="0" numFmtId="1" outline="0" showAll="0" defaultSubtotal="0">
      <extLst>
        <ext xmlns:x14="http://schemas.microsoft.com/office/spreadsheetml/2009/9/main" uri="{2946ED86-A175-432a-8AC1-64E0C546D7DE}">
          <x14:pivotField fillDownLabels="1"/>
        </ext>
      </extLst>
    </pivotField>
    <pivotField compact="0" numFmtId="4"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dataField="1" compact="0" numFmtId="3" outline="0" showAll="0" defaultSubtotal="0">
      <extLst>
        <ext xmlns:x14="http://schemas.microsoft.com/office/spreadsheetml/2009/9/main" uri="{2946ED86-A175-432a-8AC1-64E0C546D7DE}">
          <x14:pivotField fillDownLabels="1"/>
        </ext>
      </extLst>
    </pivotField>
    <pivotField dataField="1" compact="0" numFmtId="1"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4"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2" outline="0" showAll="0" defaultSubtotal="0">
      <extLst>
        <ext xmlns:x14="http://schemas.microsoft.com/office/spreadsheetml/2009/9/main" uri="{2946ED86-A175-432a-8AC1-64E0C546D7DE}">
          <x14:pivotField fillDownLabels="1"/>
        </ext>
      </extLst>
    </pivotField>
    <pivotField dataField="1" compact="0" numFmtId="166"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s>
  <rowFields count="1">
    <field x="9"/>
  </rowFields>
  <rowItems count="2">
    <i>
      <x v="2"/>
    </i>
    <i t="grand">
      <x/>
    </i>
  </rowItems>
  <colFields count="1">
    <field x="-2"/>
  </colFields>
  <colItems count="5">
    <i>
      <x/>
    </i>
    <i i="1">
      <x v="1"/>
    </i>
    <i i="2">
      <x v="2"/>
    </i>
    <i i="3">
      <x v="3"/>
    </i>
    <i i="4">
      <x v="4"/>
    </i>
  </colItems>
  <dataFields count="5">
    <dataField name="Sum of BAU_ZUniverse" fld="14" baseField="0" baseItem="0"/>
    <dataField name="Sum of VUE_ZUniverse" fld="19" baseField="0" baseItem="0"/>
    <dataField name="Sum of BAU_XUniverse" fld="13" baseField="0" baseItem="0"/>
    <dataField name="Sum of VUE_XUniverse" fld="18" baseField="0" baseItem="0"/>
    <dataField name="Sum of ADJ_XUniverse" fld="28" baseField="0" baseItem="0"/>
  </dataFields>
  <formats count="15">
    <format dxfId="182">
      <pivotArea type="all" dataOnly="0" outline="0" fieldPosition="0"/>
    </format>
    <format dxfId="181">
      <pivotArea outline="0" collapsedLevelsAreSubtotals="1" fieldPosition="0"/>
    </format>
    <format dxfId="180">
      <pivotArea field="7" type="button" dataOnly="0" labelOnly="1" outline="0"/>
    </format>
    <format dxfId="179">
      <pivotArea dataOnly="0" labelOnly="1" grandRow="1" outline="0" fieldPosition="0"/>
    </format>
    <format dxfId="178">
      <pivotArea dataOnly="0" labelOnly="1" outline="0" fieldPosition="0">
        <references count="1">
          <reference field="4294967294" count="5">
            <x v="0"/>
            <x v="1"/>
            <x v="2"/>
            <x v="3"/>
            <x v="4"/>
          </reference>
        </references>
      </pivotArea>
    </format>
    <format dxfId="177">
      <pivotArea type="all" dataOnly="0" outline="0" fieldPosition="0"/>
    </format>
    <format dxfId="176">
      <pivotArea outline="0" collapsedLevelsAreSubtotals="1" fieldPosition="0"/>
    </format>
    <format dxfId="175">
      <pivotArea field="7" type="button" dataOnly="0" labelOnly="1" outline="0"/>
    </format>
    <format dxfId="174">
      <pivotArea dataOnly="0" labelOnly="1" grandRow="1" outline="0" fieldPosition="0"/>
    </format>
    <format dxfId="173">
      <pivotArea dataOnly="0" labelOnly="1" outline="0" fieldPosition="0">
        <references count="1">
          <reference field="4294967294" count="5">
            <x v="0"/>
            <x v="1"/>
            <x v="2"/>
            <x v="3"/>
            <x v="4"/>
          </reference>
        </references>
      </pivotArea>
    </format>
    <format dxfId="172">
      <pivotArea dataOnly="0" labelOnly="1" outline="0" fieldPosition="0">
        <references count="1">
          <reference field="4294967294" count="5">
            <x v="0"/>
            <x v="1"/>
            <x v="2"/>
            <x v="3"/>
            <x v="4"/>
          </reference>
        </references>
      </pivotArea>
    </format>
    <format dxfId="171">
      <pivotArea outline="0" collapsedLevelsAreSubtotals="1" fieldPosition="0"/>
    </format>
    <format dxfId="170">
      <pivotArea dataOnly="0" labelOnly="1" outline="0" fieldPosition="0">
        <references count="1">
          <reference field="4294967294" count="5">
            <x v="0"/>
            <x v="1"/>
            <x v="2"/>
            <x v="3"/>
            <x v="4"/>
          </reference>
        </references>
      </pivotArea>
    </format>
    <format dxfId="169">
      <pivotArea field="8" type="button" dataOnly="0" labelOnly="1" outline="0"/>
    </format>
    <format dxfId="168">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6A34191-277E-4EAF-8475-00004539BB1B}" name="PivotTable8" cacheId="1210" applyNumberFormats="0" applyBorderFormats="0" applyFontFormats="0" applyPatternFormats="0" applyAlignmentFormats="0" applyWidthHeightFormats="1" dataCaption="Values" updatedVersion="8" minRefreshableVersion="3" showCalcMbrs="0" useAutoFormatting="1" itemPrintTitles="1" createdVersion="3" indent="0" compact="0" compactData="0" multipleFieldFilters="0">
  <location ref="A1:N6" firstHeaderRow="1" firstDataRow="2" firstDataCol="3"/>
  <pivotFields count="55">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1" outline="0" showAll="0">
      <extLst>
        <ext xmlns:x14="http://schemas.microsoft.com/office/spreadsheetml/2009/9/main" uri="{2946ED86-A175-432a-8AC1-64E0C546D7DE}">
          <x14:pivotField fillDownLabels="1"/>
        </ext>
      </extLst>
    </pivotField>
    <pivotField compact="0" numFmtId="1"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1" outline="0" showAll="0">
      <extLst>
        <ext xmlns:x14="http://schemas.microsoft.com/office/spreadsheetml/2009/9/main" uri="{2946ED86-A175-432a-8AC1-64E0C546D7DE}">
          <x14:pivotField fillDownLabels="1"/>
        </ext>
      </extLst>
    </pivotField>
    <pivotField axis="axisRow" compact="0" outline="0" showAll="0">
      <items count="170">
        <item m="1" x="1"/>
        <item m="1" x="2"/>
        <item m="1" x="3"/>
        <item m="1" x="4"/>
        <item m="1" x="5"/>
        <item m="1" x="6"/>
        <item m="1" x="7"/>
        <item m="1" x="8"/>
        <item m="1" x="9"/>
        <item m="1" x="10"/>
        <item m="1" x="11"/>
        <item m="1" x="12"/>
        <item m="1" x="13"/>
        <item m="1" x="14"/>
        <item m="1" x="15"/>
        <item m="1" x="16"/>
        <item m="1" x="17"/>
        <item m="1" x="18"/>
        <item m="1" x="19"/>
        <item m="1" x="20"/>
        <item m="1" x="21"/>
        <item m="1" x="22"/>
        <item m="1" x="23"/>
        <item m="1" x="24"/>
        <item m="1" x="25"/>
        <item m="1" x="26"/>
        <item m="1" x="27"/>
        <item m="1" x="28"/>
        <item m="1" x="29"/>
        <item m="1" x="30"/>
        <item m="1" x="31"/>
        <item m="1" x="32"/>
        <item m="1" x="33"/>
        <item m="1" x="34"/>
        <item m="1" x="35"/>
        <item m="1" x="36"/>
        <item m="1" x="37"/>
        <item m="1" x="38"/>
        <item m="1" x="39"/>
        <item m="1" x="40"/>
        <item m="1" x="41"/>
        <item m="1" x="42"/>
        <item m="1" x="43"/>
        <item m="1" x="44"/>
        <item m="1" x="45"/>
        <item m="1" x="46"/>
        <item m="1" x="47"/>
        <item m="1" x="48"/>
        <item m="1" x="49"/>
        <item m="1" x="50"/>
        <item m="1" x="51"/>
        <item m="1" x="52"/>
        <item m="1" x="53"/>
        <item m="1" x="54"/>
        <item m="1" x="55"/>
        <item m="1" x="56"/>
        <item m="1" x="57"/>
        <item m="1" x="58"/>
        <item m="1" x="59"/>
        <item m="1" x="60"/>
        <item m="1" x="61"/>
        <item m="1" x="62"/>
        <item m="1" x="63"/>
        <item m="1" x="64"/>
        <item m="1" x="65"/>
        <item m="1" x="66"/>
        <item m="1" x="67"/>
        <item m="1" x="68"/>
        <item m="1" x="69"/>
        <item m="1" x="70"/>
        <item m="1" x="71"/>
        <item m="1" x="72"/>
        <item m="1" x="73"/>
        <item m="1" x="74"/>
        <item m="1" x="75"/>
        <item m="1" x="76"/>
        <item m="1" x="77"/>
        <item m="1" x="78"/>
        <item m="1" x="79"/>
        <item m="1" x="80"/>
        <item m="1" x="81"/>
        <item m="1" x="82"/>
        <item m="1" x="83"/>
        <item m="1" x="84"/>
        <item m="1" x="85"/>
        <item m="1" x="86"/>
        <item m="1" x="87"/>
        <item m="1" x="88"/>
        <item m="1"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m="1" x="168"/>
        <item x="0"/>
        <item t="default"/>
      </items>
      <extLst>
        <ext xmlns:x14="http://schemas.microsoft.com/office/spreadsheetml/2009/9/main" uri="{2946ED86-A175-432a-8AC1-64E0C546D7DE}">
          <x14:pivotField fillDownLabels="1"/>
        </ext>
      </extLst>
    </pivotField>
    <pivotField axis="axisRow" compact="0" outline="0" showAll="0">
      <items count="10">
        <item m="1" x="1"/>
        <item m="1" x="2"/>
        <item m="1" x="3"/>
        <item m="1" x="4"/>
        <item m="1" x="5"/>
        <item m="1" x="6"/>
        <item m="1" x="7"/>
        <item m="1" x="8"/>
        <item x="0"/>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items count="4">
        <item m="1" x="1"/>
        <item m="1" x="2"/>
        <item x="0"/>
        <item t="default"/>
      </items>
      <extLst>
        <ext xmlns:x14="http://schemas.microsoft.com/office/spreadsheetml/2009/9/main" uri="{2946ED86-A175-432a-8AC1-64E0C546D7DE}">
          <x14:pivotField fillDownLabels="1"/>
        </ext>
      </extLst>
    </pivotField>
    <pivotField compact="0" numFmtId="1"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1" outline="0" showAll="0">
      <extLst>
        <ext xmlns:x14="http://schemas.microsoft.com/office/spreadsheetml/2009/9/main" uri="{2946ED86-A175-432a-8AC1-64E0C546D7DE}">
          <x14:pivotField fillDownLabels="1"/>
        </ext>
      </extLst>
    </pivotField>
    <pivotField dataField="1" compact="0" numFmtId="3" outline="0" showAll="0">
      <extLst>
        <ext xmlns:x14="http://schemas.microsoft.com/office/spreadsheetml/2009/9/main" uri="{2946ED86-A175-432a-8AC1-64E0C546D7DE}">
          <x14:pivotField fillDownLabels="1"/>
        </ext>
      </extLst>
    </pivotField>
    <pivotField dataField="1" compact="0" numFmtId="1" outline="0" showAll="0">
      <extLst>
        <ext xmlns:x14="http://schemas.microsoft.com/office/spreadsheetml/2009/9/main" uri="{2946ED86-A175-432a-8AC1-64E0C546D7DE}">
          <x14:pivotField fillDownLabels="1"/>
        </ext>
      </extLst>
    </pivotField>
    <pivotField compact="0" numFmtId="4" outline="0" showAll="0">
      <extLst>
        <ext xmlns:x14="http://schemas.microsoft.com/office/spreadsheetml/2009/9/main" uri="{2946ED86-A175-432a-8AC1-64E0C546D7DE}">
          <x14:pivotField fillDownLabels="1"/>
        </ext>
      </extLst>
    </pivotField>
    <pivotField compact="0" numFmtId="1" outline="0" showAll="0">
      <extLst>
        <ext xmlns:x14="http://schemas.microsoft.com/office/spreadsheetml/2009/9/main" uri="{2946ED86-A175-432a-8AC1-64E0C546D7DE}">
          <x14:pivotField fillDownLabels="1"/>
        </ext>
      </extLst>
    </pivotField>
    <pivotField dataField="1" compact="0" numFmtId="9" outline="0" showAll="0">
      <extLst>
        <ext xmlns:x14="http://schemas.microsoft.com/office/spreadsheetml/2009/9/main" uri="{2946ED86-A175-432a-8AC1-64E0C546D7DE}">
          <x14:pivotField fillDownLabels="1"/>
        </ext>
      </extLst>
    </pivotField>
    <pivotField dataField="1" compact="0" numFmtId="3" outline="0" showAll="0">
      <extLst>
        <ext xmlns:x14="http://schemas.microsoft.com/office/spreadsheetml/2009/9/main" uri="{2946ED86-A175-432a-8AC1-64E0C546D7DE}">
          <x14:pivotField fillDownLabels="1"/>
        </ext>
      </extLst>
    </pivotField>
    <pivotField dataField="1" compact="0" numFmtId="1"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1" outline="0" showAll="0">
      <extLst>
        <ext xmlns:x14="http://schemas.microsoft.com/office/spreadsheetml/2009/9/main" uri="{2946ED86-A175-432a-8AC1-64E0C546D7DE}">
          <x14:pivotField fillDownLabels="1"/>
        </ext>
      </extLst>
    </pivotField>
    <pivotField compact="0" numFmtId="4" outline="0" showAll="0">
      <extLst>
        <ext xmlns:x14="http://schemas.microsoft.com/office/spreadsheetml/2009/9/main" uri="{2946ED86-A175-432a-8AC1-64E0C546D7DE}">
          <x14:pivotField fillDownLabels="1"/>
        </ext>
      </extLst>
    </pivotField>
    <pivotField compact="0" numFmtId="1" outline="0" showAll="0">
      <extLst>
        <ext xmlns:x14="http://schemas.microsoft.com/office/spreadsheetml/2009/9/main" uri="{2946ED86-A175-432a-8AC1-64E0C546D7DE}">
          <x14:pivotField fillDownLabels="1"/>
        </ext>
      </extLst>
    </pivotField>
    <pivotField compact="0" numFmtId="9" outline="0" showAll="0">
      <extLst>
        <ext xmlns:x14="http://schemas.microsoft.com/office/spreadsheetml/2009/9/main" uri="{2946ED86-A175-432a-8AC1-64E0C546D7DE}">
          <x14:pivotField fillDownLabels="1"/>
        </ext>
      </extLst>
    </pivotField>
    <pivotField compact="0" numFmtId="164"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2" outline="0" showAll="0">
      <extLst>
        <ext xmlns:x14="http://schemas.microsoft.com/office/spreadsheetml/2009/9/main" uri="{2946ED86-A175-432a-8AC1-64E0C546D7DE}">
          <x14:pivotField fillDownLabels="1"/>
        </ext>
      </extLst>
    </pivotField>
    <pivotField dataField="1" compact="0" numFmtId="166" outline="0" showAll="0">
      <extLst>
        <ext xmlns:x14="http://schemas.microsoft.com/office/spreadsheetml/2009/9/main" uri="{2946ED86-A175-432a-8AC1-64E0C546D7DE}">
          <x14:pivotField fillDownLabels="1"/>
        </ext>
      </extLst>
    </pivotField>
    <pivotField compact="0" numFmtId="10" outline="0" showAll="0">
      <extLst>
        <ext xmlns:x14="http://schemas.microsoft.com/office/spreadsheetml/2009/9/main" uri="{2946ED86-A175-432a-8AC1-64E0C546D7DE}">
          <x14:pivotField fillDownLabels="1"/>
        </ext>
      </extLst>
    </pivotField>
    <pivotField compact="0" numFmtId="10" outline="0" showAll="0">
      <extLst>
        <ext xmlns:x14="http://schemas.microsoft.com/office/spreadsheetml/2009/9/main" uri="{2946ED86-A175-432a-8AC1-64E0C546D7DE}">
          <x14:pivotField fillDownLabels="1"/>
        </ext>
      </extLst>
    </pivotField>
    <pivotField compact="0" numFmtId="10" outline="0" showAll="0">
      <extLst>
        <ext xmlns:x14="http://schemas.microsoft.com/office/spreadsheetml/2009/9/main" uri="{2946ED86-A175-432a-8AC1-64E0C546D7DE}">
          <x14:pivotField fillDownLabels="1"/>
        </ext>
      </extLst>
    </pivotField>
    <pivotField compact="0" numFmtId="10" outline="0" showAll="0">
      <extLst>
        <ext xmlns:x14="http://schemas.microsoft.com/office/spreadsheetml/2009/9/main" uri="{2946ED86-A175-432a-8AC1-64E0C546D7DE}">
          <x14:pivotField fillDownLabels="1"/>
        </ext>
      </extLst>
    </pivotField>
    <pivotField compact="0" numFmtId="10" outline="0" showAll="0">
      <extLst>
        <ext xmlns:x14="http://schemas.microsoft.com/office/spreadsheetml/2009/9/main" uri="{2946ED86-A175-432a-8AC1-64E0C546D7DE}">
          <x14:pivotField fillDownLabels="1"/>
        </ext>
      </extLst>
    </pivotField>
    <pivotField compact="0" numFmtId="167" outline="0" showAll="0">
      <extLst>
        <ext xmlns:x14="http://schemas.microsoft.com/office/spreadsheetml/2009/9/main" uri="{2946ED86-A175-432a-8AC1-64E0C546D7DE}">
          <x14:pivotField fillDownLabels="1"/>
        </ext>
      </extLst>
    </pivotField>
    <pivotField compact="0" numFmtId="167" outline="0" showAll="0">
      <extLst>
        <ext xmlns:x14="http://schemas.microsoft.com/office/spreadsheetml/2009/9/main" uri="{2946ED86-A175-432a-8AC1-64E0C546D7DE}">
          <x14:pivotField fillDownLabels="1"/>
        </ext>
      </extLst>
    </pivotField>
    <pivotField compact="0" numFmtId="167" outline="0" showAll="0">
      <extLst>
        <ext xmlns:x14="http://schemas.microsoft.com/office/spreadsheetml/2009/9/main" uri="{2946ED86-A175-432a-8AC1-64E0C546D7DE}">
          <x14:pivotField fillDownLabels="1"/>
        </ext>
      </extLst>
    </pivotField>
    <pivotField compact="0" numFmtId="167" outline="0" showAll="0">
      <extLst>
        <ext xmlns:x14="http://schemas.microsoft.com/office/spreadsheetml/2009/9/main" uri="{2946ED86-A175-432a-8AC1-64E0C546D7DE}">
          <x14:pivotField fillDownLabels="1"/>
        </ext>
      </extLst>
    </pivotField>
    <pivotField compact="0" numFmtId="167" outline="0" showAll="0">
      <extLst>
        <ext xmlns:x14="http://schemas.microsoft.com/office/spreadsheetml/2009/9/main" uri="{2946ED86-A175-432a-8AC1-64E0C546D7DE}">
          <x14:pivotField fillDownLabels="1"/>
        </ext>
      </extLst>
    </pivotField>
    <pivotField compact="0" numFmtId="167" outline="0" showAll="0">
      <extLst>
        <ext xmlns:x14="http://schemas.microsoft.com/office/spreadsheetml/2009/9/main" uri="{2946ED86-A175-432a-8AC1-64E0C546D7DE}">
          <x14:pivotField fillDownLabels="1"/>
        </ext>
      </extLst>
    </pivotField>
    <pivotField compact="0" numFmtId="167" outline="0" showAll="0">
      <extLst>
        <ext xmlns:x14="http://schemas.microsoft.com/office/spreadsheetml/2009/9/main" uri="{2946ED86-A175-432a-8AC1-64E0C546D7DE}">
          <x14:pivotField fillDownLabels="1"/>
        </ext>
      </extLst>
    </pivotField>
    <pivotField compact="0" numFmtId="167" outline="0" showAll="0">
      <extLst>
        <ext xmlns:x14="http://schemas.microsoft.com/office/spreadsheetml/2009/9/main" uri="{2946ED86-A175-432a-8AC1-64E0C546D7DE}">
          <x14:pivotField fillDownLabels="1"/>
        </ext>
      </extLst>
    </pivotField>
    <pivotField compact="0" numFmtId="167" outline="0" showAll="0">
      <extLst>
        <ext xmlns:x14="http://schemas.microsoft.com/office/spreadsheetml/2009/9/main" uri="{2946ED86-A175-432a-8AC1-64E0C546D7DE}">
          <x14:pivotField fillDownLabels="1"/>
        </ext>
      </extLst>
    </pivotField>
    <pivotField dataField="1" compact="0" numFmtId="168" outline="0" showAll="0">
      <extLst>
        <ext xmlns:x14="http://schemas.microsoft.com/office/spreadsheetml/2009/9/main" uri="{2946ED86-A175-432a-8AC1-64E0C546D7DE}">
          <x14:pivotField fillDownLabels="1"/>
        </ext>
      </extLst>
    </pivotField>
    <pivotField dataField="1" compact="0" numFmtId="168" outline="0" showAll="0">
      <extLst>
        <ext xmlns:x14="http://schemas.microsoft.com/office/spreadsheetml/2009/9/main" uri="{2946ED86-A175-432a-8AC1-64E0C546D7DE}">
          <x14:pivotField fillDownLabels="1"/>
        </ext>
      </extLst>
    </pivotField>
    <pivotField dataField="1" compact="0" numFmtId="168" outline="0" showAll="0">
      <extLst>
        <ext xmlns:x14="http://schemas.microsoft.com/office/spreadsheetml/2009/9/main" uri="{2946ED86-A175-432a-8AC1-64E0C546D7DE}">
          <x14:pivotField fillDownLabels="1"/>
        </ext>
      </extLst>
    </pivotField>
    <pivotField dataField="1" compact="0" numFmtId="168" outline="0" showAll="0">
      <extLst>
        <ext xmlns:x14="http://schemas.microsoft.com/office/spreadsheetml/2009/9/main" uri="{2946ED86-A175-432a-8AC1-64E0C546D7DE}">
          <x14:pivotField fillDownLabels="1"/>
        </ext>
      </extLst>
    </pivotField>
    <pivotField dataField="1" compact="0" numFmtId="168" outline="0" showAll="0">
      <extLst>
        <ext xmlns:x14="http://schemas.microsoft.com/office/spreadsheetml/2009/9/main" uri="{2946ED86-A175-432a-8AC1-64E0C546D7DE}">
          <x14:pivotField fillDownLabels="1"/>
        </ext>
      </extLst>
    </pivotField>
    <pivotField compact="0" numFmtId="1" outline="0" showAll="0">
      <extLst>
        <ext xmlns:x14="http://schemas.microsoft.com/office/spreadsheetml/2009/9/main" uri="{2946ED86-A175-432a-8AC1-64E0C546D7DE}">
          <x14:pivotField fillDownLabels="1"/>
        </ext>
      </extLst>
    </pivotField>
    <pivotField compact="0" numFmtId="1" outline="0" showAll="0">
      <extLst>
        <ext xmlns:x14="http://schemas.microsoft.com/office/spreadsheetml/2009/9/main" uri="{2946ED86-A175-432a-8AC1-64E0C546D7DE}">
          <x14:pivotField fillDownLabels="1"/>
        </ext>
      </extLst>
    </pivotField>
    <pivotField compact="0" numFmtId="1" outline="0" showAll="0">
      <extLst>
        <ext xmlns:x14="http://schemas.microsoft.com/office/spreadsheetml/2009/9/main" uri="{2946ED86-A175-432a-8AC1-64E0C546D7DE}">
          <x14:pivotField fillDownLabels="1"/>
        </ext>
      </extLst>
    </pivotField>
    <pivotField compact="0" numFmtId="1"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s>
  <rowFields count="3">
    <field x="9"/>
    <field x="7"/>
    <field x="6"/>
  </rowFields>
  <rowItems count="4">
    <i>
      <x v="2"/>
      <x v="8"/>
      <x v="168"/>
    </i>
    <i t="default" r="1">
      <x v="8"/>
    </i>
    <i t="default">
      <x v="2"/>
    </i>
    <i t="grand">
      <x/>
    </i>
  </rowItems>
  <colFields count="1">
    <field x="-2"/>
  </colFields>
  <colItems count="11">
    <i>
      <x/>
    </i>
    <i i="1">
      <x v="1"/>
    </i>
    <i i="2">
      <x v="2"/>
    </i>
    <i i="3">
      <x v="3"/>
    </i>
    <i i="4">
      <x v="4"/>
    </i>
    <i i="5">
      <x v="5"/>
    </i>
    <i i="6">
      <x v="6"/>
    </i>
    <i i="7">
      <x v="7"/>
    </i>
    <i i="8">
      <x v="8"/>
    </i>
    <i i="9">
      <x v="9"/>
    </i>
    <i i="10">
      <x v="10"/>
    </i>
  </colItems>
  <dataFields count="11">
    <dataField name="Sum of BAU_ZUniverse" fld="14" baseField="0" baseItem="0" numFmtId="10">
      <extLst>
        <ext xmlns:x14="http://schemas.microsoft.com/office/spreadsheetml/2009/9/main" uri="{E15A36E0-9728-4e99-A89B-3F7291B0FE68}">
          <x14:dataField pivotShowAs="percentOfParentRow"/>
        </ext>
      </extLst>
    </dataField>
    <dataField name="Sum of BAU_XUniverse" fld="13" baseField="0" baseItem="0" numFmtId="10">
      <extLst>
        <ext xmlns:x14="http://schemas.microsoft.com/office/spreadsheetml/2009/9/main" uri="{E15A36E0-9728-4e99-A89B-3F7291B0FE68}">
          <x14:dataField pivotShowAs="percentOfParentRow"/>
        </ext>
      </extLst>
    </dataField>
    <dataField name="Sum of VUE_ZUniverse" fld="19" baseField="0" baseItem="0" numFmtId="10">
      <extLst>
        <ext xmlns:x14="http://schemas.microsoft.com/office/spreadsheetml/2009/9/main" uri="{E15A36E0-9728-4e99-A89B-3F7291B0FE68}">
          <x14:dataField pivotShowAs="percentOfParentRow"/>
        </ext>
      </extLst>
    </dataField>
    <dataField name="Sum of VUE_XUniverse" fld="18" baseField="0" baseItem="0" numFmtId="10">
      <extLst>
        <ext xmlns:x14="http://schemas.microsoft.com/office/spreadsheetml/2009/9/main" uri="{E15A36E0-9728-4e99-A89B-3F7291B0FE68}">
          <x14:dataField pivotShowAs="percentOfParentRow"/>
        </ext>
      </extLst>
    </dataField>
    <dataField name="Sum of ADJ_XUniverse" fld="28" baseField="0" baseItem="0" numFmtId="10">
      <extLst>
        <ext xmlns:x14="http://schemas.microsoft.com/office/spreadsheetml/2009/9/main" uri="{E15A36E0-9728-4e99-A89B-3F7291B0FE68}">
          <x14:dataField pivotShowAs="percentOfParentRow"/>
        </ext>
      </extLst>
    </dataField>
    <dataField name="Sum of Average BAU Universe" fld="43" baseField="0" baseItem="0" numFmtId="3"/>
    <dataField name="Sum of Average BAU Panel" fld="44" baseField="0" baseItem="0" numFmtId="3"/>
    <dataField name="Sum of Average VUE Universe" fld="45" baseField="0" baseItem="0"/>
    <dataField name="Sum of Average VUE Panel" fld="46" baseField="0" baseItem="0"/>
    <dataField name="Sum of Average ADJ Universe" fld="47" baseField="0" baseItem="0"/>
    <dataField name="Sum of BAU_XZRatio" fld="17" baseField="0" baseItem="0" numFmtId="10"/>
  </dataFields>
  <formats count="59">
    <format dxfId="92">
      <pivotArea outline="0" collapsedLevelsAreSubtotals="1" fieldPosition="0"/>
    </format>
    <format dxfId="91">
      <pivotArea field="-2" type="button" dataOnly="0" labelOnly="1" outline="0" axis="axisCol" fieldPosition="0"/>
    </format>
    <format dxfId="90">
      <pivotArea type="topRight" dataOnly="0" labelOnly="1" outline="0" fieldPosition="0"/>
    </format>
    <format dxfId="89">
      <pivotArea outline="0" collapsedLevelsAreSubtotals="1" fieldPosition="0"/>
    </format>
    <format dxfId="88">
      <pivotArea field="-2" type="button" dataOnly="0" labelOnly="1" outline="0" axis="axisCol" fieldPosition="0"/>
    </format>
    <format dxfId="87">
      <pivotArea type="topRight" dataOnly="0" labelOnly="1" outline="0" fieldPosition="0"/>
    </format>
    <format dxfId="86">
      <pivotArea outline="0" fieldPosition="0">
        <references count="1">
          <reference field="4294967294" count="1">
            <x v="1"/>
          </reference>
        </references>
      </pivotArea>
    </format>
    <format dxfId="85">
      <pivotArea outline="0" fieldPosition="0">
        <references count="1">
          <reference field="4294967294" count="1">
            <x v="2"/>
          </reference>
        </references>
      </pivotArea>
    </format>
    <format dxfId="84">
      <pivotArea outline="0" fieldPosition="0">
        <references count="1">
          <reference field="4294967294" count="1">
            <x v="3"/>
          </reference>
        </references>
      </pivotArea>
    </format>
    <format dxfId="83">
      <pivotArea dataOnly="0" labelOnly="1" outline="0" fieldPosition="0">
        <references count="1">
          <reference field="4294967294" count="8">
            <x v="0"/>
            <x v="1"/>
            <x v="2"/>
            <x v="3"/>
            <x v="4"/>
            <x v="5"/>
            <x v="6"/>
            <x v="10"/>
          </reference>
        </references>
      </pivotArea>
    </format>
    <format dxfId="82">
      <pivotArea field="9" type="button" dataOnly="0" labelOnly="1" outline="0" axis="axisRow" fieldPosition="0"/>
    </format>
    <format dxfId="81">
      <pivotArea field="7" type="button" dataOnly="0" labelOnly="1" outline="0" axis="axisRow" fieldPosition="1"/>
    </format>
    <format dxfId="80">
      <pivotArea field="6" type="button" dataOnly="0" labelOnly="1" outline="0" axis="axisRow" fieldPosition="2"/>
    </format>
    <format dxfId="79">
      <pivotArea dataOnly="0" labelOnly="1" outline="0" fieldPosition="0">
        <references count="1">
          <reference field="4294967294" count="8">
            <x v="0"/>
            <x v="1"/>
            <x v="2"/>
            <x v="3"/>
            <x v="4"/>
            <x v="5"/>
            <x v="6"/>
            <x v="10"/>
          </reference>
        </references>
      </pivotArea>
    </format>
    <format dxfId="78">
      <pivotArea field="9" type="button" dataOnly="0" labelOnly="1" outline="0" axis="axisRow" fieldPosition="0"/>
    </format>
    <format dxfId="77">
      <pivotArea field="7" type="button" dataOnly="0" labelOnly="1" outline="0" axis="axisRow" fieldPosition="1"/>
    </format>
    <format dxfId="76">
      <pivotArea field="6" type="button" dataOnly="0" labelOnly="1" outline="0" axis="axisRow" fieldPosition="2"/>
    </format>
    <format dxfId="75">
      <pivotArea dataOnly="0" labelOnly="1" outline="0" fieldPosition="0">
        <references count="1">
          <reference field="4294967294" count="8">
            <x v="0"/>
            <x v="1"/>
            <x v="2"/>
            <x v="3"/>
            <x v="4"/>
            <x v="5"/>
            <x v="6"/>
            <x v="10"/>
          </reference>
        </references>
      </pivotArea>
    </format>
    <format dxfId="74">
      <pivotArea outline="0" fieldPosition="0">
        <references count="1">
          <reference field="4294967294" count="1">
            <x v="4"/>
          </reference>
        </references>
      </pivotArea>
    </format>
    <format dxfId="73">
      <pivotArea outline="0" fieldPosition="0">
        <references count="1">
          <reference field="4294967294" count="1" selected="0">
            <x v="5"/>
          </reference>
        </references>
      </pivotArea>
    </format>
    <format dxfId="72">
      <pivotArea outline="0" fieldPosition="0">
        <references count="1">
          <reference field="4294967294" count="1" selected="0">
            <x v="6"/>
          </reference>
        </references>
      </pivotArea>
    </format>
    <format dxfId="71">
      <pivotArea outline="0" fieldPosition="0">
        <references count="1">
          <reference field="4294967294" count="1" selected="0">
            <x v="10"/>
          </reference>
        </references>
      </pivotArea>
    </format>
    <format dxfId="70">
      <pivotArea dataOnly="0" labelOnly="1" outline="0" fieldPosition="0">
        <references count="1">
          <reference field="4294967294" count="1">
            <x v="0"/>
          </reference>
        </references>
      </pivotArea>
    </format>
    <format dxfId="69">
      <pivotArea dataOnly="0" labelOnly="1" outline="0" fieldPosition="0">
        <references count="1">
          <reference field="4294967294" count="1">
            <x v="2"/>
          </reference>
        </references>
      </pivotArea>
    </format>
    <format dxfId="68">
      <pivotArea dataOnly="0" labelOnly="1" outline="0" fieldPosition="0">
        <references count="1">
          <reference field="4294967294" count="1">
            <x v="1"/>
          </reference>
        </references>
      </pivotArea>
    </format>
    <format dxfId="67">
      <pivotArea dataOnly="0" labelOnly="1" outline="0" fieldPosition="0">
        <references count="1">
          <reference field="4294967294" count="1">
            <x v="3"/>
          </reference>
        </references>
      </pivotArea>
    </format>
    <format dxfId="66">
      <pivotArea dataOnly="0" labelOnly="1" outline="0" fieldPosition="0">
        <references count="1">
          <reference field="4294967294" count="1">
            <x v="4"/>
          </reference>
        </references>
      </pivotArea>
    </format>
    <format dxfId="65">
      <pivotArea dataOnly="0" labelOnly="1" outline="0" fieldPosition="0">
        <references count="1">
          <reference field="4294967294" count="1">
            <x v="1"/>
          </reference>
        </references>
      </pivotArea>
    </format>
    <format dxfId="64">
      <pivotArea dataOnly="0" labelOnly="1" outline="0" fieldPosition="0">
        <references count="1">
          <reference field="4294967294" count="1">
            <x v="3"/>
          </reference>
        </references>
      </pivotArea>
    </format>
    <format dxfId="63">
      <pivotArea dataOnly="0" labelOnly="1" outline="0" fieldPosition="0">
        <references count="1">
          <reference field="4294967294" count="1">
            <x v="4"/>
          </reference>
        </references>
      </pivotArea>
    </format>
    <format dxfId="62">
      <pivotArea dataOnly="0" labelOnly="1" outline="0" fieldPosition="0">
        <references count="1">
          <reference field="4294967294" count="5">
            <x v="0"/>
            <x v="1"/>
            <x v="2"/>
            <x v="3"/>
            <x v="4"/>
          </reference>
        </references>
      </pivotArea>
    </format>
    <format dxfId="61">
      <pivotArea dataOnly="0" labelOnly="1" outline="0" fieldPosition="0">
        <references count="1">
          <reference field="4294967294" count="1">
            <x v="5"/>
          </reference>
        </references>
      </pivotArea>
    </format>
    <format dxfId="60">
      <pivotArea dataOnly="0" labelOnly="1" outline="0" fieldPosition="0">
        <references count="1">
          <reference field="4294967294" count="1">
            <x v="7"/>
          </reference>
        </references>
      </pivotArea>
    </format>
    <format dxfId="59">
      <pivotArea dataOnly="0" labelOnly="1" outline="0" fieldPosition="0">
        <references count="1">
          <reference field="4294967294" count="1">
            <x v="9"/>
          </reference>
        </references>
      </pivotArea>
    </format>
    <format dxfId="58">
      <pivotArea dataOnly="0" labelOnly="1" outline="0" fieldPosition="0">
        <references count="1">
          <reference field="4294967294" count="1">
            <x v="6"/>
          </reference>
        </references>
      </pivotArea>
    </format>
    <format dxfId="57">
      <pivotArea dataOnly="0" labelOnly="1" outline="0" fieldPosition="0">
        <references count="1">
          <reference field="4294967294" count="1">
            <x v="8"/>
          </reference>
        </references>
      </pivotArea>
    </format>
    <format dxfId="56">
      <pivotArea dataOnly="0" labelOnly="1" outline="0" fieldPosition="0">
        <references count="1">
          <reference field="4294967294" count="5">
            <x v="5"/>
            <x v="6"/>
            <x v="7"/>
            <x v="8"/>
            <x v="9"/>
          </reference>
        </references>
      </pivotArea>
    </format>
    <format dxfId="55">
      <pivotArea dataOnly="0" labelOnly="1" outline="0" fieldPosition="0">
        <references count="1">
          <reference field="4294967294" count="1">
            <x v="6"/>
          </reference>
        </references>
      </pivotArea>
    </format>
    <format dxfId="54">
      <pivotArea dataOnly="0" labelOnly="1" outline="0" fieldPosition="0">
        <references count="1">
          <reference field="4294967294" count="1">
            <x v="8"/>
          </reference>
        </references>
      </pivotArea>
    </format>
    <format dxfId="53">
      <pivotArea dataOnly="0" labelOnly="1" outline="0" fieldPosition="0">
        <references count="1">
          <reference field="4294967294" count="1">
            <x v="10"/>
          </reference>
        </references>
      </pivotArea>
    </format>
    <format dxfId="52">
      <pivotArea dataOnly="0" labelOnly="1" outline="0" fieldPosition="0">
        <references count="1">
          <reference field="4294967294" count="1">
            <x v="6"/>
          </reference>
        </references>
      </pivotArea>
    </format>
    <format dxfId="51">
      <pivotArea dataOnly="0" labelOnly="1" outline="0" fieldPosition="0">
        <references count="1">
          <reference field="4294967294" count="1">
            <x v="8"/>
          </reference>
        </references>
      </pivotArea>
    </format>
    <format dxfId="50">
      <pivotArea dataOnly="0" labelOnly="1" outline="0" fieldPosition="0">
        <references count="1">
          <reference field="4294967294" count="1">
            <x v="6"/>
          </reference>
        </references>
      </pivotArea>
    </format>
    <format dxfId="49">
      <pivotArea dataOnly="0" labelOnly="1" outline="0" fieldPosition="0">
        <references count="1">
          <reference field="4294967294" count="1">
            <x v="8"/>
          </reference>
        </references>
      </pivotArea>
    </format>
    <format dxfId="48">
      <pivotArea dataOnly="0" labelOnly="1" outline="0" fieldPosition="0">
        <references count="1">
          <reference field="4294967294" count="1">
            <x v="5"/>
          </reference>
        </references>
      </pivotArea>
    </format>
    <format dxfId="47">
      <pivotArea dataOnly="0" labelOnly="1" outline="0" fieldPosition="0">
        <references count="1">
          <reference field="4294967294" count="1">
            <x v="5"/>
          </reference>
        </references>
      </pivotArea>
    </format>
    <format dxfId="46">
      <pivotArea dataOnly="0" labelOnly="1" outline="0" fieldPosition="0">
        <references count="1">
          <reference field="4294967294" count="1">
            <x v="7"/>
          </reference>
        </references>
      </pivotArea>
    </format>
    <format dxfId="45">
      <pivotArea dataOnly="0" labelOnly="1" outline="0" fieldPosition="0">
        <references count="1">
          <reference field="4294967294" count="1">
            <x v="9"/>
          </reference>
        </references>
      </pivotArea>
    </format>
    <format dxfId="44">
      <pivotArea dataOnly="0" labelOnly="1" outline="0" fieldPosition="0">
        <references count="1">
          <reference field="4294967294" count="1">
            <x v="10"/>
          </reference>
        </references>
      </pivotArea>
    </format>
    <format dxfId="43">
      <pivotArea field="7" type="button" dataOnly="0" labelOnly="1" outline="0" axis="axisRow" fieldPosition="1"/>
    </format>
    <format dxfId="42">
      <pivotArea field="6" type="button" dataOnly="0" labelOnly="1" outline="0" axis="axisRow" fieldPosition="2"/>
    </format>
    <format dxfId="41">
      <pivotArea dataOnly="0" labelOnly="1" outline="0" fieldPosition="0">
        <references count="1">
          <reference field="4294967294" count="11">
            <x v="0"/>
            <x v="1"/>
            <x v="2"/>
            <x v="3"/>
            <x v="4"/>
            <x v="5"/>
            <x v="6"/>
            <x v="7"/>
            <x v="8"/>
            <x v="9"/>
            <x v="10"/>
          </reference>
        </references>
      </pivotArea>
    </format>
    <format dxfId="40">
      <pivotArea dataOnly="0" labelOnly="1" outline="0" fieldPosition="0">
        <references count="1">
          <reference field="4294967294" count="1">
            <x v="10"/>
          </reference>
        </references>
      </pivotArea>
    </format>
    <format dxfId="39">
      <pivotArea dataOnly="0" labelOnly="1" outline="0" fieldPosition="0">
        <references count="1">
          <reference field="4294967294" count="1">
            <x v="10"/>
          </reference>
        </references>
      </pivotArea>
    </format>
    <format dxfId="38">
      <pivotArea dataOnly="0" labelOnly="1" outline="0" fieldPosition="0">
        <references count="1">
          <reference field="4294967294" count="1">
            <x v="7"/>
          </reference>
        </references>
      </pivotArea>
    </format>
    <format dxfId="37">
      <pivotArea dataOnly="0" labelOnly="1" outline="0" fieldPosition="0">
        <references count="1">
          <reference field="4294967294" count="1">
            <x v="8"/>
          </reference>
        </references>
      </pivotArea>
    </format>
    <format dxfId="36">
      <pivotArea dataOnly="0" labelOnly="1" outline="0" fieldPosition="0">
        <references count="1">
          <reference field="4294967294" count="1">
            <x v="9"/>
          </reference>
        </references>
      </pivotArea>
    </format>
    <format dxfId="35">
      <pivotArea dataOnly="0" labelOnly="1" outline="0" fieldPosition="0">
        <references count="1">
          <reference field="4294967294" count="3">
            <x v="7"/>
            <x v="8"/>
            <x v="9"/>
          </reference>
        </references>
      </pivotArea>
    </format>
    <format dxfId="34">
      <pivotArea dataOnly="0" labelOnly="1" outline="0" fieldPosition="0">
        <references count="1">
          <reference field="4294967294" count="3">
            <x v="7"/>
            <x v="8"/>
            <x v="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F52A7394-F047-4EFE-85D0-AABEEF723F02}" name="PivotTable1" cacheId="1219"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A1:I2" firstHeaderRow="0" firstDataRow="1" firstDataCol="6"/>
  <pivotFields count="21">
    <pivotField axis="axisRow" compact="0" numFmtId="1" outline="0" showAll="0" defaultSubtotal="0">
      <items count="30">
        <item m="1" x="1"/>
        <item m="1" x="2"/>
        <item m="1" x="3"/>
        <item m="1" x="4"/>
        <item m="1" x="5"/>
        <item m="1" x="6"/>
        <item m="1" x="7"/>
        <item m="1" x="8"/>
        <item m="1" x="9"/>
        <item m="1" x="10"/>
        <item m="1" x="11"/>
        <item m="1" x="12"/>
        <item m="1" x="13"/>
        <item m="1" x="14"/>
        <item m="1" x="15"/>
        <item m="1" x="16"/>
        <item m="1" x="17"/>
        <item m="1" x="18"/>
        <item m="1" x="19"/>
        <item m="1" x="20"/>
        <item m="1" x="21"/>
        <item m="1" x="22"/>
        <item m="1" x="23"/>
        <item m="1" x="24"/>
        <item m="1" x="25"/>
        <item m="1" x="26"/>
        <item m="1" x="27"/>
        <item m="1" x="28"/>
        <item m="1" x="29"/>
        <item x="0"/>
      </items>
      <extLst>
        <ext xmlns:x14="http://schemas.microsoft.com/office/spreadsheetml/2009/9/main" uri="{2946ED86-A175-432a-8AC1-64E0C546D7DE}">
          <x14:pivotField fillDownLabels="1"/>
        </ext>
      </extLst>
    </pivotField>
    <pivotField axis="axisRow" compact="0" outline="0" showAll="0" defaultSubtotal="0">
      <items count="30">
        <item m="1" x="1"/>
        <item m="1" x="2"/>
        <item m="1" x="3"/>
        <item m="1" x="4"/>
        <item m="1" x="5"/>
        <item m="1" x="6"/>
        <item m="1" x="7"/>
        <item m="1" x="8"/>
        <item m="1" x="9"/>
        <item m="1" x="10"/>
        <item m="1" x="11"/>
        <item m="1" x="12"/>
        <item m="1" x="13"/>
        <item m="1" x="14"/>
        <item m="1" x="15"/>
        <item m="1" x="16"/>
        <item m="1" x="17"/>
        <item m="1" x="18"/>
        <item m="1" x="19"/>
        <item m="1" x="20"/>
        <item m="1" x="21"/>
        <item m="1" x="22"/>
        <item m="1" x="23"/>
        <item m="1" x="24"/>
        <item m="1" x="25"/>
        <item m="1" x="26"/>
        <item m="1" x="27"/>
        <item m="1" x="28"/>
        <item m="1" x="29"/>
        <item x="0"/>
      </items>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axis="axisRow" compact="0" outline="0" showAll="0" defaultSubtotal="0">
      <items count="7">
        <item m="1" x="1"/>
        <item m="1" x="2"/>
        <item m="1" x="3"/>
        <item m="1" x="4"/>
        <item m="1" x="5"/>
        <item m="1" x="6"/>
        <item x="0"/>
      </items>
      <extLst>
        <ext xmlns:x14="http://schemas.microsoft.com/office/spreadsheetml/2009/9/main" uri="{2946ED86-A175-432a-8AC1-64E0C546D7DE}">
          <x14:pivotField fillDownLabels="1"/>
        </ext>
      </extLst>
    </pivotField>
    <pivotField axis="axisRow" compact="0" outline="0" showAll="0" defaultSubtotal="0">
      <items count="5">
        <item m="1" x="2"/>
        <item m="1" x="3"/>
        <item m="1" x="1"/>
        <item m="1" x="4"/>
        <item x="0"/>
      </items>
      <extLst>
        <ext xmlns:x14="http://schemas.microsoft.com/office/spreadsheetml/2009/9/main" uri="{2946ED86-A175-432a-8AC1-64E0C546D7DE}">
          <x14:pivotField fillDownLabels="1"/>
        </ext>
      </extLst>
    </pivotField>
    <pivotField name="MBD Target" axis="axisRow" compact="0" numFmtId="9" outline="0" showAll="0" defaultSubtotal="0">
      <items count="5">
        <item m="1" x="1"/>
        <item m="1" x="2"/>
        <item m="1" x="3"/>
        <item m="1" x="4"/>
        <item x="0"/>
      </items>
      <extLst>
        <ext xmlns:x14="http://schemas.microsoft.com/office/spreadsheetml/2009/9/main" uri="{2946ED86-A175-432a-8AC1-64E0C546D7DE}">
          <x14:pivotField fillDownLabels="1"/>
        </ext>
      </extLst>
    </pivotField>
    <pivotField name="Numerical DIstribution" axis="axisRow" compact="0" numFmtId="10" outline="0" showAll="0" defaultSubtotal="0">
      <items count="150">
        <item m="1" x="14"/>
        <item m="1" x="1"/>
        <item m="1" x="2"/>
        <item m="1" x="3"/>
        <item m="1" x="4"/>
        <item m="1" x="5"/>
        <item m="1" x="6"/>
        <item m="1" x="7"/>
        <item m="1" x="8"/>
        <item m="1" x="9"/>
        <item m="1" x="10"/>
        <item m="1" x="11"/>
        <item m="1" x="12"/>
        <item m="1" x="13"/>
        <item m="1" x="15"/>
        <item m="1" x="16"/>
        <item m="1" x="17"/>
        <item m="1" x="18"/>
        <item m="1" x="19"/>
        <item m="1" x="20"/>
        <item m="1" x="21"/>
        <item m="1" x="22"/>
        <item m="1" x="23"/>
        <item m="1" x="24"/>
        <item m="1" x="25"/>
        <item m="1" x="26"/>
        <item m="1" x="27"/>
        <item m="1" x="28"/>
        <item m="1" x="29"/>
        <item m="1" x="30"/>
        <item m="1" x="31"/>
        <item m="1" x="32"/>
        <item m="1" x="33"/>
        <item m="1" x="34"/>
        <item m="1" x="35"/>
        <item m="1" x="36"/>
        <item m="1" x="37"/>
        <item m="1" x="38"/>
        <item m="1" x="39"/>
        <item m="1" x="40"/>
        <item m="1" x="41"/>
        <item m="1" x="42"/>
        <item m="1" x="43"/>
        <item m="1" x="44"/>
        <item m="1" x="45"/>
        <item m="1" x="46"/>
        <item m="1" x="47"/>
        <item m="1" x="48"/>
        <item m="1" x="49"/>
        <item m="1" x="50"/>
        <item m="1" x="51"/>
        <item m="1" x="52"/>
        <item m="1" x="53"/>
        <item m="1" x="54"/>
        <item m="1" x="55"/>
        <item m="1" x="56"/>
        <item m="1" x="57"/>
        <item m="1" x="58"/>
        <item m="1" x="59"/>
        <item m="1" x="60"/>
        <item m="1" x="61"/>
        <item m="1" x="62"/>
        <item m="1" x="63"/>
        <item m="1" x="64"/>
        <item m="1" x="65"/>
        <item m="1" x="66"/>
        <item m="1" x="67"/>
        <item m="1" x="68"/>
        <item m="1" x="69"/>
        <item m="1" x="70"/>
        <item m="1" x="71"/>
        <item m="1" x="72"/>
        <item m="1" x="73"/>
        <item m="1" x="74"/>
        <item m="1" x="75"/>
        <item m="1" x="76"/>
        <item m="1" x="77"/>
        <item m="1" x="78"/>
        <item m="1" x="79"/>
        <item m="1" x="80"/>
        <item m="1" x="81"/>
        <item m="1" x="82"/>
        <item m="1" x="83"/>
        <item m="1" x="84"/>
        <item m="1" x="85"/>
        <item m="1" x="86"/>
        <item m="1" x="87"/>
        <item m="1" x="88"/>
        <item m="1"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17"/>
        <item m="1" x="118"/>
        <item m="1" x="119"/>
        <item m="1" x="120"/>
        <item m="1" x="121"/>
        <item m="1" x="122"/>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x="0"/>
      </items>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6">
    <field x="0"/>
    <field x="1"/>
    <field x="4"/>
    <field x="7"/>
    <field x="5"/>
    <field x="6"/>
  </rowFields>
  <rowItems count="1">
    <i>
      <x v="29"/>
      <x v="29"/>
      <x v="6"/>
      <x v="149"/>
      <x v="4"/>
      <x v="4"/>
    </i>
  </rowItems>
  <colFields count="1">
    <field x="-2"/>
  </colFields>
  <colItems count="3">
    <i>
      <x/>
    </i>
    <i i="1">
      <x v="1"/>
    </i>
    <i i="2">
      <x v="2"/>
    </i>
  </colItems>
  <dataFields count="3">
    <dataField name="Sum of Baseline_Sales" fld="8" baseField="0" baseItem="0" numFmtId="4"/>
    <dataField name="Sum of VUE_ProjectedSales" fld="14" baseField="0" baseItem="0" numFmtId="4"/>
    <dataField name="Sum of ADJ_ProjectedSales" fld="15" baseField="0" baseItem="0" numFmtId="4"/>
  </dataFields>
  <formats count="34">
    <format dxfId="33">
      <pivotArea type="all" dataOnly="0" outline="0" fieldPosition="0"/>
    </format>
    <format dxfId="32">
      <pivotArea outline="0" collapsedLevelsAreSubtotals="1" fieldPosition="0"/>
    </format>
    <format dxfId="31">
      <pivotArea field="0" type="button" dataOnly="0" labelOnly="1" outline="0" axis="axisRow" fieldPosition="0"/>
    </format>
    <format dxfId="30">
      <pivotArea field="1" type="button" dataOnly="0" labelOnly="1" outline="0" axis="axisRow" fieldPosition="1"/>
    </format>
    <format dxfId="29">
      <pivotArea field="4" type="button" dataOnly="0" labelOnly="1" outline="0" axis="axisRow" fieldPosition="2"/>
    </format>
    <format dxfId="28">
      <pivotArea field="7" type="button" dataOnly="0" labelOnly="1" outline="0" axis="axisRow" fieldPosition="3"/>
    </format>
    <format dxfId="27">
      <pivotArea field="5" type="button" dataOnly="0" labelOnly="1" outline="0" axis="axisRow" fieldPosition="4"/>
    </format>
    <format dxfId="26">
      <pivotArea field="6" type="button" dataOnly="0" labelOnly="1" outline="0" axis="axisRow" fieldPosition="5"/>
    </format>
    <format dxfId="25">
      <pivotArea dataOnly="0" labelOnly="1" outline="0" fieldPosition="0">
        <references count="1">
          <reference field="4294967294" count="3">
            <x v="0"/>
            <x v="1"/>
            <x v="2"/>
          </reference>
        </references>
      </pivotArea>
    </format>
    <format dxfId="24">
      <pivotArea dataOnly="0" labelOnly="1" outline="0" fieldPosition="0">
        <references count="1">
          <reference field="4294967294" count="3">
            <x v="0"/>
            <x v="1"/>
            <x v="2"/>
          </reference>
        </references>
      </pivotArea>
    </format>
    <format dxfId="23">
      <pivotArea type="all" dataOnly="0" outline="0" fieldPosition="0"/>
    </format>
    <format dxfId="22">
      <pivotArea outline="0" collapsedLevelsAreSubtotals="1" fieldPosition="0"/>
    </format>
    <format dxfId="21">
      <pivotArea field="0" type="button" dataOnly="0" labelOnly="1" outline="0" axis="axisRow" fieldPosition="0"/>
    </format>
    <format dxfId="20">
      <pivotArea field="1" type="button" dataOnly="0" labelOnly="1" outline="0" axis="axisRow" fieldPosition="1"/>
    </format>
    <format dxfId="19">
      <pivotArea field="4" type="button" dataOnly="0" labelOnly="1" outline="0" axis="axisRow" fieldPosition="2"/>
    </format>
    <format dxfId="18">
      <pivotArea field="7" type="button" dataOnly="0" labelOnly="1" outline="0" axis="axisRow" fieldPosition="3"/>
    </format>
    <format dxfId="17">
      <pivotArea field="5" type="button" dataOnly="0" labelOnly="1" outline="0" axis="axisRow" fieldPosition="4"/>
    </format>
    <format dxfId="16">
      <pivotArea field="6" type="button" dataOnly="0" labelOnly="1" outline="0" axis="axisRow" fieldPosition="5"/>
    </format>
    <format dxfId="15">
      <pivotArea dataOnly="0" labelOnly="1" outline="0" fieldPosition="0">
        <references count="1">
          <reference field="4294967294" count="3">
            <x v="0"/>
            <x v="1"/>
            <x v="2"/>
          </reference>
        </references>
      </pivotArea>
    </format>
    <format dxfId="14">
      <pivotArea type="all" dataOnly="0" outline="0" fieldPosition="0"/>
    </format>
    <format dxfId="13">
      <pivotArea outline="0" collapsedLevelsAreSubtotals="1" fieldPosition="0"/>
    </format>
    <format dxfId="12">
      <pivotArea field="0" type="button" dataOnly="0" labelOnly="1" outline="0" axis="axisRow" fieldPosition="0"/>
    </format>
    <format dxfId="11">
      <pivotArea field="4" type="button" dataOnly="0" labelOnly="1" outline="0" axis="axisRow" fieldPosition="2"/>
    </format>
    <format dxfId="10">
      <pivotArea field="7" type="button" dataOnly="0" labelOnly="1" outline="0" axis="axisRow" fieldPosition="3"/>
    </format>
    <format dxfId="9">
      <pivotArea field="5" type="button" dataOnly="0" labelOnly="1" outline="0" axis="axisRow" fieldPosition="4"/>
    </format>
    <format dxfId="8">
      <pivotArea field="6" type="button" dataOnly="0" labelOnly="1" outline="0" axis="axisRow" fieldPosition="5"/>
    </format>
    <format dxfId="7">
      <pivotArea dataOnly="0" labelOnly="1" outline="0" fieldPosition="0">
        <references count="1">
          <reference field="4294967294" count="3">
            <x v="0"/>
            <x v="1"/>
            <x v="2"/>
          </reference>
        </references>
      </pivotArea>
    </format>
    <format dxfId="6">
      <pivotArea field="1" type="button" dataOnly="0" labelOnly="1" outline="0" axis="axisRow" fieldPosition="1"/>
    </format>
    <format dxfId="5">
      <pivotArea outline="0" fieldPosition="0">
        <references count="1">
          <reference field="4294967294" count="1" selected="0">
            <x v="0"/>
          </reference>
        </references>
      </pivotArea>
    </format>
    <format dxfId="4">
      <pivotArea dataOnly="0" labelOnly="1" outline="0" fieldPosition="0">
        <references count="1">
          <reference field="4294967294" count="1">
            <x v="0"/>
          </reference>
        </references>
      </pivotArea>
    </format>
    <format dxfId="3">
      <pivotArea outline="0" fieldPosition="0">
        <references count="1">
          <reference field="4294967294" count="1" selected="0">
            <x v="1"/>
          </reference>
        </references>
      </pivotArea>
    </format>
    <format dxfId="2">
      <pivotArea dataOnly="0" labelOnly="1" outline="0" fieldPosition="0">
        <references count="1">
          <reference field="4294967294" count="1">
            <x v="1"/>
          </reference>
        </references>
      </pivotArea>
    </format>
    <format dxfId="1">
      <pivotArea outline="0" fieldPosition="0">
        <references count="1">
          <reference field="4294967294" count="1" selected="0">
            <x v="2"/>
          </reference>
        </references>
      </pivotArea>
    </format>
    <format dxfId="0">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0246D1-56F2-430C-8CB3-E4222E5AE8E4}">
  <sheetPr codeName="Sheet1">
    <tabColor theme="9" tint="-0.499984740745262"/>
  </sheetPr>
  <dimension ref="A1:A14"/>
  <sheetViews>
    <sheetView zoomScale="90" zoomScaleNormal="90" workbookViewId="0">
      <selection activeCell="G7" sqref="G7"/>
    </sheetView>
  </sheetViews>
  <sheetFormatPr defaultRowHeight="14.4" x14ac:dyDescent="0.3"/>
  <cols>
    <col min="1" max="1" width="86.88671875" bestFit="1" customWidth="1"/>
  </cols>
  <sheetData>
    <row r="1" spans="1:1" ht="18" x14ac:dyDescent="0.4">
      <c r="A1" s="1" t="s">
        <v>0</v>
      </c>
    </row>
    <row r="2" spans="1:1" ht="32.4" x14ac:dyDescent="0.3">
      <c r="A2" s="80" t="s">
        <v>1</v>
      </c>
    </row>
    <row r="3" spans="1:1" ht="75.599999999999994" x14ac:dyDescent="0.3">
      <c r="A3" s="80" t="s">
        <v>2</v>
      </c>
    </row>
    <row r="4" spans="1:1" ht="36.6" customHeight="1" x14ac:dyDescent="0.3">
      <c r="A4" s="80" t="s">
        <v>174</v>
      </c>
    </row>
    <row r="5" spans="1:1" ht="18" x14ac:dyDescent="0.4">
      <c r="A5" s="2" t="s">
        <v>3</v>
      </c>
    </row>
    <row r="6" spans="1:1" ht="54" x14ac:dyDescent="0.3">
      <c r="A6" s="79" t="s">
        <v>175</v>
      </c>
    </row>
    <row r="7" spans="1:1" ht="61.8" customHeight="1" x14ac:dyDescent="0.3">
      <c r="A7" s="79" t="s">
        <v>171</v>
      </c>
    </row>
    <row r="8" spans="1:1" ht="36" customHeight="1" x14ac:dyDescent="0.3">
      <c r="A8" s="79" t="s">
        <v>106</v>
      </c>
    </row>
    <row r="9" spans="1:1" ht="36" customHeight="1" x14ac:dyDescent="0.3">
      <c r="A9" s="79" t="s">
        <v>107</v>
      </c>
    </row>
    <row r="10" spans="1:1" ht="36" customHeight="1" x14ac:dyDescent="0.3">
      <c r="A10" s="79" t="s">
        <v>108</v>
      </c>
    </row>
    <row r="11" spans="1:1" ht="36" customHeight="1" x14ac:dyDescent="0.3">
      <c r="A11" s="79" t="s">
        <v>109</v>
      </c>
    </row>
    <row r="12" spans="1:1" ht="36" x14ac:dyDescent="0.3">
      <c r="A12" s="79" t="s">
        <v>110</v>
      </c>
    </row>
    <row r="13" spans="1:1" ht="36" customHeight="1" x14ac:dyDescent="0.3"/>
    <row r="14" spans="1:1" ht="36" customHeight="1" x14ac:dyDescent="0.3"/>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DA3A4-CBBF-4A1E-BF33-E918C63BBD0B}">
  <sheetPr codeName="Sheet2">
    <tabColor theme="9" tint="-0.249977111117893"/>
  </sheetPr>
  <dimension ref="A1:B18"/>
  <sheetViews>
    <sheetView zoomScale="80" zoomScaleNormal="80" workbookViewId="0">
      <selection activeCell="I14" sqref="I14"/>
    </sheetView>
  </sheetViews>
  <sheetFormatPr defaultRowHeight="14.4" x14ac:dyDescent="0.3"/>
  <cols>
    <col min="1" max="1" width="70.5546875" customWidth="1"/>
    <col min="2" max="2" width="85.6640625" customWidth="1"/>
  </cols>
  <sheetData>
    <row r="1" spans="1:2" ht="21.6" x14ac:dyDescent="0.5">
      <c r="A1" s="3" t="s">
        <v>4</v>
      </c>
      <c r="B1" s="3" t="s">
        <v>5</v>
      </c>
    </row>
    <row r="2" spans="1:2" ht="46.8" customHeight="1" x14ac:dyDescent="0.3">
      <c r="A2" s="4" t="s">
        <v>111</v>
      </c>
      <c r="B2" s="5" t="s">
        <v>112</v>
      </c>
    </row>
    <row r="3" spans="1:2" ht="58.8" customHeight="1" x14ac:dyDescent="0.3">
      <c r="A3" s="4" t="s">
        <v>6</v>
      </c>
      <c r="B3" s="5" t="s">
        <v>113</v>
      </c>
    </row>
    <row r="4" spans="1:2" ht="43.2" x14ac:dyDescent="0.3">
      <c r="A4" s="4" t="s">
        <v>13</v>
      </c>
      <c r="B4" s="5" t="s">
        <v>114</v>
      </c>
    </row>
    <row r="5" spans="1:2" ht="72" x14ac:dyDescent="0.3">
      <c r="A5" s="4" t="s">
        <v>115</v>
      </c>
      <c r="B5" s="5" t="s">
        <v>116</v>
      </c>
    </row>
    <row r="6" spans="1:2" ht="43.2" x14ac:dyDescent="0.3">
      <c r="A6" s="4" t="s">
        <v>117</v>
      </c>
      <c r="B6" s="5" t="s">
        <v>118</v>
      </c>
    </row>
    <row r="7" spans="1:2" ht="43.2" x14ac:dyDescent="0.3">
      <c r="A7" s="4" t="s">
        <v>119</v>
      </c>
      <c r="B7" s="5" t="s">
        <v>121</v>
      </c>
    </row>
    <row r="8" spans="1:2" ht="43.2" x14ac:dyDescent="0.3">
      <c r="A8" s="4" t="s">
        <v>127</v>
      </c>
      <c r="B8" s="5" t="s">
        <v>120</v>
      </c>
    </row>
    <row r="9" spans="1:2" ht="18" x14ac:dyDescent="0.3">
      <c r="A9" s="4" t="s">
        <v>122</v>
      </c>
      <c r="B9" s="5" t="s">
        <v>124</v>
      </c>
    </row>
    <row r="10" spans="1:2" ht="28.8" x14ac:dyDescent="0.3">
      <c r="A10" s="4" t="s">
        <v>128</v>
      </c>
      <c r="B10" s="5" t="s">
        <v>123</v>
      </c>
    </row>
    <row r="11" spans="1:2" ht="18" x14ac:dyDescent="0.3">
      <c r="A11" s="4" t="s">
        <v>167</v>
      </c>
      <c r="B11" s="5" t="s">
        <v>168</v>
      </c>
    </row>
    <row r="12" spans="1:2" ht="43.2" x14ac:dyDescent="0.3">
      <c r="A12" s="4" t="s">
        <v>156</v>
      </c>
      <c r="B12" s="5" t="s">
        <v>157</v>
      </c>
    </row>
    <row r="13" spans="1:2" ht="43.2" x14ac:dyDescent="0.3">
      <c r="A13" s="4" t="s">
        <v>158</v>
      </c>
      <c r="B13" s="5" t="s">
        <v>159</v>
      </c>
    </row>
    <row r="14" spans="1:2" ht="43.2" x14ac:dyDescent="0.3">
      <c r="A14" s="4" t="s">
        <v>160</v>
      </c>
      <c r="B14" s="5" t="s">
        <v>161</v>
      </c>
    </row>
    <row r="15" spans="1:2" ht="28.8" x14ac:dyDescent="0.3">
      <c r="A15" s="4" t="s">
        <v>162</v>
      </c>
      <c r="B15" s="5" t="s">
        <v>163</v>
      </c>
    </row>
    <row r="16" spans="1:2" ht="28.8" x14ac:dyDescent="0.3">
      <c r="A16" s="4" t="s">
        <v>164</v>
      </c>
      <c r="B16" s="5" t="s">
        <v>165</v>
      </c>
    </row>
    <row r="17" spans="1:2" ht="28.8" x14ac:dyDescent="0.3">
      <c r="A17" s="4" t="s">
        <v>10</v>
      </c>
      <c r="B17" s="5" t="s">
        <v>166</v>
      </c>
    </row>
    <row r="18" spans="1:2" ht="18" x14ac:dyDescent="0.3">
      <c r="A18" s="4" t="s">
        <v>172</v>
      </c>
      <c r="B18" s="5" t="s">
        <v>173</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6FAE9-64FB-435D-867C-79CEEC4A263F}">
  <sheetPr codeName="Sheet3">
    <tabColor rgb="FFC00000"/>
  </sheetPr>
  <dimension ref="A1:N18"/>
  <sheetViews>
    <sheetView tabSelected="1" topLeftCell="B1" zoomScale="90" zoomScaleNormal="90" workbookViewId="0">
      <selection activeCell="M14" sqref="M14"/>
    </sheetView>
  </sheetViews>
  <sheetFormatPr defaultRowHeight="14.4" x14ac:dyDescent="0.3"/>
  <cols>
    <col min="1" max="1" width="28.5546875" bestFit="1" customWidth="1"/>
    <col min="2" max="2" width="51.44140625" bestFit="1" customWidth="1"/>
    <col min="3" max="3" width="70.5546875" customWidth="1"/>
    <col min="6" max="7" width="15" bestFit="1" customWidth="1"/>
    <col min="8" max="8" width="27.88671875" customWidth="1"/>
    <col min="9" max="10" width="15.88671875" bestFit="1" customWidth="1"/>
    <col min="11" max="11" width="20.109375" bestFit="1" customWidth="1"/>
    <col min="12" max="12" width="20.77734375" customWidth="1"/>
    <col min="13" max="13" width="15.6640625" bestFit="1" customWidth="1"/>
    <col min="14" max="14" width="19.33203125" bestFit="1" customWidth="1"/>
  </cols>
  <sheetData>
    <row r="1" spans="1:14" ht="18.600000000000001" thickBot="1" x14ac:dyDescent="0.35">
      <c r="A1" s="6" t="s">
        <v>7</v>
      </c>
      <c r="B1" s="6" t="s">
        <v>8</v>
      </c>
      <c r="C1" s="6" t="s">
        <v>9</v>
      </c>
    </row>
    <row r="2" spans="1:14" ht="64.8" customHeight="1" thickBot="1" x14ac:dyDescent="0.35">
      <c r="A2" s="81" t="s">
        <v>132</v>
      </c>
      <c r="B2" s="82" t="s">
        <v>10</v>
      </c>
      <c r="C2" s="83" t="s">
        <v>11</v>
      </c>
      <c r="D2" s="114" t="s">
        <v>170</v>
      </c>
      <c r="E2" s="115"/>
      <c r="F2" s="115"/>
      <c r="G2" s="115"/>
      <c r="H2" s="116"/>
    </row>
    <row r="3" spans="1:14" ht="64.8" customHeight="1" x14ac:dyDescent="0.3">
      <c r="A3" s="84">
        <v>0</v>
      </c>
      <c r="B3" s="85" t="s">
        <v>111</v>
      </c>
      <c r="C3" s="86" t="s">
        <v>133</v>
      </c>
      <c r="D3" s="117" t="s">
        <v>12</v>
      </c>
      <c r="E3" s="118"/>
      <c r="F3" s="118"/>
      <c r="G3" s="118"/>
      <c r="H3" s="119"/>
    </row>
    <row r="4" spans="1:14" ht="64.8" customHeight="1" x14ac:dyDescent="0.3">
      <c r="A4" s="84">
        <v>1</v>
      </c>
      <c r="B4" s="85" t="s">
        <v>6</v>
      </c>
      <c r="C4" s="86" t="s">
        <v>134</v>
      </c>
      <c r="D4" s="117"/>
      <c r="E4" s="118"/>
      <c r="F4" s="118"/>
      <c r="G4" s="118"/>
      <c r="H4" s="119"/>
    </row>
    <row r="5" spans="1:14" ht="64.8" customHeight="1" x14ac:dyDescent="0.3">
      <c r="A5" s="84">
        <v>2</v>
      </c>
      <c r="B5" s="85" t="s">
        <v>13</v>
      </c>
      <c r="C5" s="86" t="s">
        <v>14</v>
      </c>
      <c r="D5" s="120" t="s">
        <v>15</v>
      </c>
      <c r="E5" s="121"/>
      <c r="F5" s="121"/>
      <c r="G5" s="121"/>
      <c r="H5" s="122"/>
    </row>
    <row r="6" spans="1:14" ht="147.6" customHeight="1" x14ac:dyDescent="0.3">
      <c r="A6" s="84">
        <v>3</v>
      </c>
      <c r="B6" s="85" t="s">
        <v>115</v>
      </c>
      <c r="C6" s="86" t="s">
        <v>135</v>
      </c>
      <c r="D6" s="120"/>
      <c r="E6" s="121"/>
      <c r="F6" s="121"/>
      <c r="G6" s="121"/>
      <c r="H6" s="122"/>
    </row>
    <row r="7" spans="1:14" ht="73.2" customHeight="1" thickBot="1" x14ac:dyDescent="0.35">
      <c r="A7" s="84">
        <v>4</v>
      </c>
      <c r="B7" s="85" t="s">
        <v>117</v>
      </c>
      <c r="C7" s="86" t="s">
        <v>136</v>
      </c>
      <c r="D7" s="123"/>
      <c r="E7" s="124"/>
      <c r="F7" s="124"/>
      <c r="G7" s="124"/>
      <c r="H7" s="125"/>
    </row>
    <row r="8" spans="1:14" ht="64.8" customHeight="1" x14ac:dyDescent="0.3">
      <c r="A8" s="84">
        <v>5</v>
      </c>
      <c r="B8" s="85" t="s">
        <v>119</v>
      </c>
      <c r="C8" s="86" t="s">
        <v>139</v>
      </c>
    </row>
    <row r="9" spans="1:14" ht="76.2" customHeight="1" x14ac:dyDescent="0.3">
      <c r="A9" s="84">
        <v>6</v>
      </c>
      <c r="B9" s="85" t="s">
        <v>127</v>
      </c>
      <c r="C9" s="86" t="s">
        <v>137</v>
      </c>
    </row>
    <row r="10" spans="1:14" ht="34.799999999999997" customHeight="1" x14ac:dyDescent="0.3">
      <c r="A10" s="84">
        <v>7</v>
      </c>
      <c r="B10" s="85" t="s">
        <v>122</v>
      </c>
      <c r="C10" s="86" t="s">
        <v>138</v>
      </c>
    </row>
    <row r="11" spans="1:14" ht="64.2" customHeight="1" x14ac:dyDescent="0.3">
      <c r="A11" s="84">
        <v>8</v>
      </c>
      <c r="B11" s="85" t="s">
        <v>128</v>
      </c>
      <c r="C11" s="86" t="s">
        <v>140</v>
      </c>
      <c r="F11" s="126" t="s">
        <v>148</v>
      </c>
      <c r="G11" s="126"/>
      <c r="H11" s="126"/>
      <c r="I11" s="126"/>
      <c r="J11" s="126"/>
      <c r="K11" s="126"/>
      <c r="L11" s="126"/>
      <c r="M11" s="126"/>
      <c r="N11" s="126"/>
    </row>
    <row r="12" spans="1:14" ht="64.2" customHeight="1" x14ac:dyDescent="0.3">
      <c r="A12" s="84">
        <v>9</v>
      </c>
      <c r="B12" s="85" t="s">
        <v>167</v>
      </c>
      <c r="C12" s="86" t="s">
        <v>169</v>
      </c>
      <c r="F12" s="89" t="s">
        <v>36</v>
      </c>
      <c r="G12" s="90" t="s">
        <v>37</v>
      </c>
      <c r="H12" s="91" t="s">
        <v>38</v>
      </c>
      <c r="I12" s="90" t="s">
        <v>39</v>
      </c>
      <c r="J12" s="92" t="s">
        <v>40</v>
      </c>
      <c r="K12" s="93" t="s">
        <v>41</v>
      </c>
      <c r="L12" s="103" t="s">
        <v>42</v>
      </c>
      <c r="M12" s="95" t="s">
        <v>43</v>
      </c>
      <c r="N12" s="94" t="s">
        <v>44</v>
      </c>
    </row>
    <row r="13" spans="1:14" ht="64.2" customHeight="1" x14ac:dyDescent="0.3">
      <c r="A13" s="87">
        <v>10</v>
      </c>
      <c r="B13" s="87" t="s">
        <v>146</v>
      </c>
      <c r="C13" s="87" t="s">
        <v>147</v>
      </c>
      <c r="F13" s="96">
        <v>38787.016499999998</v>
      </c>
      <c r="G13" s="97">
        <v>4</v>
      </c>
      <c r="H13" s="98">
        <v>3.8371</v>
      </c>
      <c r="I13" s="97">
        <v>13</v>
      </c>
      <c r="J13" s="99">
        <v>0.29520000000000002</v>
      </c>
      <c r="K13" s="100">
        <v>-4.7759999999999998</v>
      </c>
      <c r="L13" s="101">
        <v>-4.7759999999999998</v>
      </c>
      <c r="M13" s="102">
        <v>3.8371</v>
      </c>
      <c r="N13" s="104">
        <v>148830</v>
      </c>
    </row>
    <row r="14" spans="1:14" ht="71.400000000000006" customHeight="1" x14ac:dyDescent="0.3">
      <c r="A14" s="87">
        <v>10</v>
      </c>
      <c r="B14" s="87" t="s">
        <v>129</v>
      </c>
      <c r="C14" s="88" t="s">
        <v>141</v>
      </c>
      <c r="F14" s="96">
        <v>38787.316500000001</v>
      </c>
      <c r="G14" s="97">
        <v>4</v>
      </c>
      <c r="H14" s="98">
        <v>3.8371</v>
      </c>
      <c r="I14" s="97">
        <v>13</v>
      </c>
      <c r="J14" s="99">
        <v>0.29520000000000002</v>
      </c>
      <c r="K14" s="100">
        <v>-4.7759999999999998</v>
      </c>
      <c r="L14" s="78">
        <v>-4.7759999999999998</v>
      </c>
      <c r="M14" s="102">
        <f>-I14/(L14/SQRT(G14)-1)</f>
        <v>3.837072018890201</v>
      </c>
      <c r="N14" s="104">
        <f>ROUND(M14*F14,0)</f>
        <v>148830</v>
      </c>
    </row>
    <row r="15" spans="1:14" ht="60.6" customHeight="1" x14ac:dyDescent="0.3">
      <c r="A15" s="87">
        <v>10</v>
      </c>
      <c r="B15" s="87" t="s">
        <v>130</v>
      </c>
      <c r="C15" s="88" t="s">
        <v>142</v>
      </c>
      <c r="F15" s="96">
        <v>38787.016499999998</v>
      </c>
      <c r="G15" s="97">
        <v>4</v>
      </c>
      <c r="H15" s="98">
        <v>3.8371</v>
      </c>
      <c r="I15" s="97">
        <v>13</v>
      </c>
      <c r="J15" s="99">
        <v>0.29520000000000002</v>
      </c>
      <c r="K15" s="100">
        <v>-4.7759999999999998</v>
      </c>
      <c r="L15" s="101">
        <f>-SQRT(G15)*(I15/M15-1)</f>
        <v>-4.7759505876834067</v>
      </c>
      <c r="M15" s="78">
        <v>3.8371</v>
      </c>
      <c r="N15" s="104">
        <f>ROUND(M15*F15,0)</f>
        <v>148830</v>
      </c>
    </row>
    <row r="16" spans="1:14" ht="54" customHeight="1" x14ac:dyDescent="0.3">
      <c r="A16" s="87">
        <v>10</v>
      </c>
      <c r="B16" s="87" t="s">
        <v>125</v>
      </c>
      <c r="C16" s="88" t="s">
        <v>143</v>
      </c>
      <c r="F16" s="96">
        <v>38787.016499999998</v>
      </c>
      <c r="G16" s="97">
        <v>4</v>
      </c>
      <c r="H16" s="98">
        <v>3.8371</v>
      </c>
      <c r="I16" s="97">
        <v>13</v>
      </c>
      <c r="J16" s="99">
        <v>0.29520000000000002</v>
      </c>
      <c r="K16" s="100">
        <v>-4.7759999999999998</v>
      </c>
      <c r="L16" s="101">
        <f>-SQRT(G16)*(I16/M16-1)</f>
        <v>-4.7759351542027808</v>
      </c>
      <c r="M16" s="102">
        <f>N16/F16</f>
        <v>3.8371087397247998</v>
      </c>
      <c r="N16" s="105">
        <v>148830</v>
      </c>
    </row>
    <row r="17" spans="1:3" ht="53.4" customHeight="1" x14ac:dyDescent="0.3">
      <c r="A17" s="84">
        <v>10</v>
      </c>
      <c r="B17" s="85" t="s">
        <v>126</v>
      </c>
      <c r="C17" s="86" t="s">
        <v>144</v>
      </c>
    </row>
    <row r="18" spans="1:3" ht="55.2" customHeight="1" x14ac:dyDescent="0.3">
      <c r="A18" s="84">
        <v>11</v>
      </c>
      <c r="B18" s="85" t="s">
        <v>131</v>
      </c>
      <c r="C18" s="86" t="s">
        <v>145</v>
      </c>
    </row>
  </sheetData>
  <mergeCells count="4">
    <mergeCell ref="D2:H2"/>
    <mergeCell ref="D3:H4"/>
    <mergeCell ref="D5:H7"/>
    <mergeCell ref="F11:N1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36505A-7459-42D3-831F-CD182BF80259}">
  <sheetPr codeName="Sheet8">
    <tabColor rgb="FF9966FF"/>
  </sheetPr>
  <dimension ref="A1:B8"/>
  <sheetViews>
    <sheetView workbookViewId="0">
      <selection activeCell="A8" sqref="A8"/>
    </sheetView>
  </sheetViews>
  <sheetFormatPr defaultRowHeight="14.4" x14ac:dyDescent="0.3"/>
  <cols>
    <col min="1" max="1" width="57.5546875" customWidth="1"/>
    <col min="2" max="2" width="20.33203125" style="134" bestFit="1" customWidth="1"/>
  </cols>
  <sheetData>
    <row r="1" spans="1:2" ht="18" x14ac:dyDescent="0.3">
      <c r="A1" s="129" t="s">
        <v>178</v>
      </c>
      <c r="B1" s="132" t="s">
        <v>179</v>
      </c>
    </row>
    <row r="2" spans="1:2" x14ac:dyDescent="0.3">
      <c r="A2" s="131" t="s">
        <v>181</v>
      </c>
      <c r="B2" s="133"/>
    </row>
    <row r="3" spans="1:2" x14ac:dyDescent="0.3">
      <c r="A3" s="131" t="s">
        <v>180</v>
      </c>
      <c r="B3" s="133"/>
    </row>
    <row r="4" spans="1:2" x14ac:dyDescent="0.3">
      <c r="A4" s="131" t="s">
        <v>182</v>
      </c>
      <c r="B4" s="133"/>
    </row>
    <row r="5" spans="1:2" x14ac:dyDescent="0.3">
      <c r="A5" s="131" t="s">
        <v>183</v>
      </c>
      <c r="B5" s="133"/>
    </row>
    <row r="6" spans="1:2" x14ac:dyDescent="0.3">
      <c r="A6" s="131" t="s">
        <v>184</v>
      </c>
      <c r="B6" s="133"/>
    </row>
    <row r="7" spans="1:2" x14ac:dyDescent="0.3">
      <c r="A7" s="131" t="s">
        <v>185</v>
      </c>
      <c r="B7" s="133"/>
    </row>
    <row r="8" spans="1:2" x14ac:dyDescent="0.3">
      <c r="A8" s="131" t="s">
        <v>186</v>
      </c>
      <c r="B8" s="133"/>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D83616-910B-423E-9108-163CD0328817}">
  <sheetPr codeName="Sheet4">
    <tabColor rgb="FF0033CC"/>
  </sheetPr>
  <dimension ref="A1:BC1"/>
  <sheetViews>
    <sheetView topLeftCell="AQ1" zoomScaleNormal="100" workbookViewId="0">
      <selection activeCell="BA6" sqref="BA6"/>
    </sheetView>
  </sheetViews>
  <sheetFormatPr defaultRowHeight="14.4" x14ac:dyDescent="0.3"/>
  <cols>
    <col min="1" max="1" width="11.6640625" style="31" bestFit="1" customWidth="1"/>
    <col min="2" max="2" width="12.44140625" style="31" bestFit="1" customWidth="1"/>
    <col min="3" max="3" width="13" style="32" bestFit="1" customWidth="1"/>
    <col min="4" max="4" width="13.88671875" style="32" bestFit="1" customWidth="1"/>
    <col min="5" max="5" width="62.109375" style="31" bestFit="1" customWidth="1"/>
    <col min="6" max="6" width="13.44140625" style="32" bestFit="1" customWidth="1"/>
    <col min="7" max="7" width="67.33203125" style="31" bestFit="1" customWidth="1"/>
    <col min="8" max="8" width="19" style="31" bestFit="1" customWidth="1"/>
    <col min="9" max="9" width="22.33203125" style="31" bestFit="1" customWidth="1"/>
    <col min="10" max="10" width="37.109375" style="31" bestFit="1" customWidth="1"/>
    <col min="11" max="11" width="10.33203125" style="33" bestFit="1" customWidth="1"/>
    <col min="12" max="12" width="15.33203125" style="34" bestFit="1" customWidth="1"/>
    <col min="13" max="13" width="15.33203125" style="33" bestFit="1" customWidth="1"/>
    <col min="14" max="14" width="18.6640625" style="34" bestFit="1" customWidth="1"/>
    <col min="15" max="15" width="18.6640625" style="33" bestFit="1" customWidth="1"/>
    <col min="16" max="16" width="18.6640625" style="35" bestFit="1" customWidth="1"/>
    <col min="17" max="17" width="16.109375" style="33" bestFit="1" customWidth="1"/>
    <col min="18" max="18" width="16.109375" style="36" bestFit="1" customWidth="1"/>
    <col min="19" max="19" width="18.5546875" style="34" bestFit="1" customWidth="1"/>
    <col min="20" max="20" width="18.5546875" style="33" bestFit="1" customWidth="1"/>
    <col min="21" max="21" width="18.5546875" style="34" bestFit="1" customWidth="1"/>
    <col min="22" max="22" width="18.5546875" style="33" bestFit="1" customWidth="1"/>
    <col min="23" max="23" width="15.88671875" style="35" bestFit="1" customWidth="1"/>
    <col min="24" max="24" width="18.5546875" style="33" bestFit="1" customWidth="1"/>
    <col min="25" max="25" width="15.88671875" style="36" bestFit="1" customWidth="1"/>
    <col min="26" max="26" width="20.109375" style="37" bestFit="1" customWidth="1"/>
    <col min="27" max="27" width="26.44140625" style="38" bestFit="1" customWidth="1"/>
    <col min="28" max="28" width="16.33203125" style="39" bestFit="1" customWidth="1"/>
    <col min="29" max="29" width="19.109375" style="40" bestFit="1" customWidth="1"/>
    <col min="30" max="30" width="22.33203125" style="41" customWidth="1"/>
    <col min="31" max="31" width="22.44140625" style="42" customWidth="1"/>
    <col min="32" max="32" width="24.6640625" style="41" customWidth="1"/>
    <col min="33" max="33" width="19.6640625" style="42" customWidth="1"/>
    <col min="34" max="34" width="18.44140625" style="41" bestFit="1" customWidth="1"/>
    <col min="35" max="35" width="18.33203125" style="43" customWidth="1"/>
    <col min="36" max="36" width="16.5546875" style="43" customWidth="1"/>
    <col min="37" max="37" width="18.33203125" style="43" customWidth="1"/>
    <col min="38" max="38" width="16.33203125" style="43" customWidth="1"/>
    <col min="39" max="39" width="16.88671875" style="43" customWidth="1"/>
    <col min="40" max="40" width="19" style="44" customWidth="1"/>
    <col min="41" max="41" width="20.5546875" style="44" customWidth="1"/>
    <col min="42" max="42" width="21.44140625" style="44" customWidth="1"/>
    <col min="43" max="43" width="21" style="44" customWidth="1"/>
    <col min="44" max="44" width="22.33203125" style="45" customWidth="1"/>
    <col min="45" max="45" width="19.6640625" style="45" customWidth="1"/>
    <col min="46" max="47" width="16.88671875" style="45" customWidth="1"/>
    <col min="48" max="48" width="17.33203125" style="45" customWidth="1"/>
    <col min="49" max="49" width="17.21875" style="33" customWidth="1"/>
    <col min="50" max="52" width="12.109375" style="33" bestFit="1" customWidth="1"/>
    <col min="53" max="53" width="24.77734375" style="33" bestFit="1" customWidth="1"/>
    <col min="54" max="54" width="17.5546875" style="57" bestFit="1" customWidth="1"/>
    <col min="55" max="55" width="44.88671875" customWidth="1"/>
  </cols>
  <sheetData>
    <row r="1" spans="1:55" ht="89.4" customHeight="1" thickBot="1" x14ac:dyDescent="0.35">
      <c r="A1" s="7" t="s">
        <v>16</v>
      </c>
      <c r="B1" s="7" t="s">
        <v>17</v>
      </c>
      <c r="C1" s="8" t="s">
        <v>18</v>
      </c>
      <c r="D1" s="8" t="s">
        <v>19</v>
      </c>
      <c r="E1" s="7" t="s">
        <v>20</v>
      </c>
      <c r="F1" s="8" t="s">
        <v>21</v>
      </c>
      <c r="G1" s="7" t="s">
        <v>22</v>
      </c>
      <c r="H1" s="7" t="s">
        <v>23</v>
      </c>
      <c r="I1" s="7" t="s">
        <v>24</v>
      </c>
      <c r="J1" s="7" t="s">
        <v>25</v>
      </c>
      <c r="K1" s="8" t="s">
        <v>26</v>
      </c>
      <c r="L1" s="9" t="s">
        <v>27</v>
      </c>
      <c r="M1" s="10" t="s">
        <v>28</v>
      </c>
      <c r="N1" s="9" t="s">
        <v>29</v>
      </c>
      <c r="O1" s="10" t="s">
        <v>30</v>
      </c>
      <c r="P1" s="11" t="s">
        <v>31</v>
      </c>
      <c r="Q1" s="10" t="s">
        <v>32</v>
      </c>
      <c r="R1" s="12" t="s">
        <v>33</v>
      </c>
      <c r="S1" s="13" t="s">
        <v>34</v>
      </c>
      <c r="T1" s="14" t="s">
        <v>35</v>
      </c>
      <c r="U1" s="13" t="s">
        <v>36</v>
      </c>
      <c r="V1" s="14" t="s">
        <v>37</v>
      </c>
      <c r="W1" s="15" t="s">
        <v>38</v>
      </c>
      <c r="X1" s="14" t="s">
        <v>39</v>
      </c>
      <c r="Y1" s="16" t="s">
        <v>40</v>
      </c>
      <c r="Z1" s="17" t="s">
        <v>41</v>
      </c>
      <c r="AA1" s="130" t="s">
        <v>42</v>
      </c>
      <c r="AB1" s="128" t="s">
        <v>43</v>
      </c>
      <c r="AC1" s="130" t="s">
        <v>44</v>
      </c>
      <c r="AD1" s="18" t="s">
        <v>45</v>
      </c>
      <c r="AE1" s="19" t="s">
        <v>46</v>
      </c>
      <c r="AF1" s="18" t="s">
        <v>47</v>
      </c>
      <c r="AG1" s="19" t="s">
        <v>48</v>
      </c>
      <c r="AH1" s="20" t="s">
        <v>49</v>
      </c>
      <c r="AI1" s="21" t="s">
        <v>50</v>
      </c>
      <c r="AJ1" s="21" t="s">
        <v>51</v>
      </c>
      <c r="AK1" s="21" t="s">
        <v>52</v>
      </c>
      <c r="AL1" s="22" t="s">
        <v>53</v>
      </c>
      <c r="AM1" s="23" t="s">
        <v>54</v>
      </c>
      <c r="AN1" s="24" t="s">
        <v>55</v>
      </c>
      <c r="AO1" s="25" t="s">
        <v>56</v>
      </c>
      <c r="AP1" s="26" t="s">
        <v>57</v>
      </c>
      <c r="AQ1" s="26" t="s">
        <v>58</v>
      </c>
      <c r="AR1" s="27" t="s">
        <v>59</v>
      </c>
      <c r="AS1" s="27" t="s">
        <v>60</v>
      </c>
      <c r="AT1" s="27" t="s">
        <v>61</v>
      </c>
      <c r="AU1" s="27" t="s">
        <v>62</v>
      </c>
      <c r="AV1" s="28" t="s">
        <v>63</v>
      </c>
      <c r="AW1" s="29" t="s">
        <v>64</v>
      </c>
      <c r="AX1" s="29" t="s">
        <v>65</v>
      </c>
      <c r="AY1" s="29" t="s">
        <v>66</v>
      </c>
      <c r="AZ1" s="29" t="s">
        <v>67</v>
      </c>
      <c r="BA1" s="29" t="s">
        <v>187</v>
      </c>
      <c r="BB1" s="56" t="s">
        <v>68</v>
      </c>
      <c r="BC1" s="30" t="s">
        <v>69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964ADF-A675-4C05-993C-25FBE057DF0F}">
  <sheetPr codeName="Sheet5">
    <tabColor rgb="FF3366FF"/>
  </sheetPr>
  <dimension ref="A1:EM85"/>
  <sheetViews>
    <sheetView zoomScale="70" zoomScaleNormal="70" workbookViewId="0">
      <selection activeCell="DL6" sqref="DL6"/>
    </sheetView>
  </sheetViews>
  <sheetFormatPr defaultRowHeight="14.4" x14ac:dyDescent="0.3"/>
  <cols>
    <col min="1" max="1" width="17.6640625" style="57" bestFit="1" customWidth="1"/>
    <col min="2" max="2" width="19.6640625" style="34" bestFit="1" customWidth="1"/>
    <col min="3" max="3" width="19.5546875" style="34" bestFit="1" customWidth="1"/>
    <col min="4" max="4" width="19.77734375" style="34" bestFit="1" customWidth="1"/>
    <col min="5" max="5" width="13.88671875" style="34" bestFit="1" customWidth="1"/>
    <col min="6" max="6" width="19.33203125" style="34" bestFit="1" customWidth="1"/>
    <col min="7" max="7" width="17.109375" style="57" customWidth="1"/>
    <col min="8" max="8" width="17.5546875" style="57" customWidth="1"/>
    <col min="9" max="9" width="17.44140625" style="57" customWidth="1"/>
    <col min="10" max="10" width="17.109375" style="57" customWidth="1"/>
    <col min="11" max="11" width="21.77734375" style="57" customWidth="1"/>
    <col min="12" max="26" width="8.88671875" style="57"/>
    <col min="27" max="27" width="22.88671875" style="57" bestFit="1" customWidth="1"/>
    <col min="28" max="28" width="19.6640625" style="57" bestFit="1" customWidth="1"/>
    <col min="29" max="29" width="19.5546875" style="57" bestFit="1" customWidth="1"/>
    <col min="30" max="30" width="13.88671875" style="57" bestFit="1" customWidth="1"/>
    <col min="31" max="31" width="19.6640625" style="57" bestFit="1" customWidth="1"/>
    <col min="32" max="32" width="19.33203125" style="57" bestFit="1" customWidth="1"/>
    <col min="33" max="33" width="16.77734375" style="57" customWidth="1"/>
    <col min="34" max="34" width="16" style="57" bestFit="1" customWidth="1"/>
    <col min="35" max="36" width="11.5546875" style="57" bestFit="1" customWidth="1"/>
    <col min="37" max="37" width="12.88671875" style="57" bestFit="1" customWidth="1"/>
    <col min="38" max="52" width="8.88671875" style="57"/>
    <col min="53" max="53" width="15.88671875" style="57" bestFit="1" customWidth="1"/>
    <col min="54" max="54" width="19.6640625" style="57" bestFit="1" customWidth="1"/>
    <col min="55" max="55" width="19.5546875" style="57" bestFit="1" customWidth="1"/>
    <col min="56" max="56" width="19.77734375" style="57" bestFit="1" customWidth="1"/>
    <col min="57" max="57" width="19.6640625" style="57" bestFit="1" customWidth="1"/>
    <col min="58" max="58" width="19.33203125" style="57" bestFit="1" customWidth="1"/>
    <col min="59" max="59" width="17.77734375" style="57" bestFit="1" customWidth="1"/>
    <col min="60" max="60" width="16" style="57" bestFit="1" customWidth="1"/>
    <col min="61" max="62" width="11.5546875" style="57" bestFit="1" customWidth="1"/>
    <col min="63" max="63" width="12.88671875" style="57" bestFit="1" customWidth="1"/>
    <col min="64" max="78" width="8.88671875" style="57"/>
    <col min="79" max="79" width="28.88671875" style="57" bestFit="1" customWidth="1"/>
    <col min="80" max="80" width="22.88671875" style="57" bestFit="1" customWidth="1"/>
    <col min="81" max="81" width="19.6640625" style="57" bestFit="1" customWidth="1"/>
    <col min="82" max="82" width="13.6640625" style="57" bestFit="1" customWidth="1"/>
    <col min="83" max="84" width="13.88671875" style="57" bestFit="1" customWidth="1"/>
    <col min="85" max="85" width="13.5546875" style="57" bestFit="1" customWidth="1"/>
    <col min="86" max="86" width="16.21875" style="57" bestFit="1" customWidth="1"/>
    <col min="87" max="87" width="16" style="57" bestFit="1" customWidth="1"/>
    <col min="88" max="89" width="11.5546875" style="57" bestFit="1" customWidth="1"/>
    <col min="90" max="90" width="12.88671875" style="57" bestFit="1" customWidth="1"/>
    <col min="91" max="104" width="8.88671875" style="57"/>
    <col min="105" max="105" width="24" style="57" bestFit="1" customWidth="1"/>
    <col min="106" max="106" width="15.88671875" style="57" bestFit="1" customWidth="1"/>
    <col min="107" max="107" width="19.6640625" style="57" bestFit="1" customWidth="1"/>
    <col min="108" max="108" width="13.6640625" style="57" bestFit="1" customWidth="1"/>
    <col min="109" max="110" width="13.88671875" style="57" bestFit="1" customWidth="1"/>
    <col min="111" max="111" width="13.5546875" style="57" bestFit="1" customWidth="1"/>
    <col min="112" max="112" width="17.77734375" style="57" bestFit="1" customWidth="1"/>
    <col min="113" max="113" width="16" style="57" bestFit="1" customWidth="1"/>
    <col min="114" max="115" width="11.5546875" style="57" bestFit="1" customWidth="1"/>
    <col min="116" max="116" width="12.88671875" style="57" bestFit="1" customWidth="1"/>
    <col min="117" max="130" width="8.88671875" style="57"/>
    <col min="131" max="131" width="24" style="57" bestFit="1" customWidth="1"/>
    <col min="132" max="132" width="37.109375" style="57" bestFit="1" customWidth="1"/>
    <col min="133" max="133" width="15.88671875" style="57" bestFit="1" customWidth="1"/>
    <col min="134" max="134" width="19.6640625" style="57" bestFit="1" customWidth="1"/>
    <col min="135" max="135" width="19.5546875" style="57" bestFit="1" customWidth="1"/>
    <col min="136" max="136" width="19.77734375" style="57" bestFit="1" customWidth="1"/>
    <col min="137" max="137" width="19.6640625" style="57" bestFit="1" customWidth="1"/>
    <col min="138" max="138" width="19.33203125" style="57" bestFit="1" customWidth="1"/>
    <col min="139" max="139" width="17.6640625" style="57" customWidth="1"/>
    <col min="140" max="140" width="17.21875" style="57" customWidth="1"/>
    <col min="141" max="141" width="16.21875" style="57" bestFit="1" customWidth="1"/>
    <col min="142" max="142" width="17.44140625" style="57" bestFit="1" customWidth="1"/>
    <col min="143" max="143" width="12.88671875" style="57" bestFit="1" customWidth="1"/>
    <col min="144" max="16384" width="8.88671875" style="57"/>
  </cols>
  <sheetData>
    <row r="1" spans="1:143" ht="30" customHeight="1" x14ac:dyDescent="0.3">
      <c r="A1" s="76" t="str">
        <f>HYPERLINK("#A1", "NielsenArea")</f>
        <v>NielsenArea</v>
      </c>
      <c r="B1" s="72" t="str">
        <f>HYPERLINK("#AB1", "StoreTypeChannel")</f>
        <v>StoreTypeChannel</v>
      </c>
      <c r="C1" s="72" t="str">
        <f>HYPERLINK("#BC1", "StoreType")</f>
        <v>StoreType</v>
      </c>
      <c r="D1" s="57"/>
      <c r="E1" s="57"/>
      <c r="F1" s="57"/>
      <c r="AA1" s="72" t="str">
        <f>HYPERLINK("#A1", "NielsenArea")</f>
        <v>NielsenArea</v>
      </c>
      <c r="AB1" s="76" t="str">
        <f>HYPERLINK("#AB1", "StoreTypeChannel")</f>
        <v>StoreTypeChannel</v>
      </c>
      <c r="AC1" s="72" t="str">
        <f>HYPERLINK("#BC1", "StoreType")</f>
        <v>StoreType</v>
      </c>
      <c r="BA1" s="72" t="str">
        <f>HYPERLINK("#A1", "NielsenArea")</f>
        <v>NielsenArea</v>
      </c>
      <c r="BB1" s="72" t="str">
        <f>HYPERLINK("#AB1", "StoreTypeChannel")</f>
        <v>StoreTypeChannel</v>
      </c>
      <c r="BC1" s="76" t="str">
        <f>HYPERLINK("#BC1", "StoreType")</f>
        <v>StoreType</v>
      </c>
      <c r="CA1" s="72" t="str">
        <f>HYPERLINK("#A1", "NielsenArea")</f>
        <v>NielsenArea</v>
      </c>
      <c r="CB1" s="72" t="str">
        <f>HYPERLINK("#AB1", "StoreTypeChannel")</f>
        <v>StoreTypeChannel</v>
      </c>
      <c r="CC1" s="72" t="str">
        <f>HYPERLINK("#BC1", "StoreType")</f>
        <v>StoreType</v>
      </c>
      <c r="DA1" s="72" t="str">
        <f>HYPERLINK("#A1", "NielsenArea")</f>
        <v>NielsenArea</v>
      </c>
      <c r="DB1" s="72" t="str">
        <f>HYPERLINK("#AB1", "StoreTypeChannel")</f>
        <v>StoreTypeChannel</v>
      </c>
      <c r="DC1" s="72" t="str">
        <f>HYPERLINK("#BC1", "StoreType")</f>
        <v>StoreType</v>
      </c>
      <c r="EA1" s="72" t="str">
        <f>HYPERLINK("#A1", "NielsenArea")</f>
        <v>NielsenArea</v>
      </c>
      <c r="EB1" s="72" t="str">
        <f>HYPERLINK("#AB1", "StoreTypeChannel")</f>
        <v>StoreTypeChannel</v>
      </c>
      <c r="EC1" s="72" t="str">
        <f>HYPERLINK("#BC1", "StoreType")</f>
        <v>StoreType</v>
      </c>
    </row>
    <row r="2" spans="1:143" ht="64.2" customHeight="1" x14ac:dyDescent="0.3">
      <c r="A2" s="72" t="str">
        <f>HYPERLINK("#CA2", "NielsenArea + StoreTypeChannel")</f>
        <v>NielsenArea + StoreTypeChannel</v>
      </c>
      <c r="B2" s="72" t="str">
        <f>HYPERLINK("#DB2", "NielsenArea + StoreType")</f>
        <v>NielsenArea + StoreType</v>
      </c>
      <c r="C2" s="72" t="str">
        <f>HYPERLINK("#EC1", "NielsenArea + StoreTypeChannel + StoreType")</f>
        <v>NielsenArea + StoreTypeChannel + StoreType</v>
      </c>
      <c r="D2" s="57"/>
      <c r="E2" s="57"/>
      <c r="F2" s="57"/>
      <c r="AA2" s="72" t="str">
        <f>HYPERLINK("#CA2", "NielsenArea + StoreTypeChannel")</f>
        <v>NielsenArea + StoreTypeChannel</v>
      </c>
      <c r="AB2" s="72" t="str">
        <f>HYPERLINK("#DB2", "NielsenArea + StoreType")</f>
        <v>NielsenArea + StoreType</v>
      </c>
      <c r="AC2" s="72" t="str">
        <f>HYPERLINK("#EC1", "NielsenArea + StoreTypeChannel + StoreType")</f>
        <v>NielsenArea + StoreTypeChannel + StoreType</v>
      </c>
      <c r="BA2" s="72" t="str">
        <f>HYPERLINK("#CA2", "NielsenArea + StoreTypeChannel")</f>
        <v>NielsenArea + StoreTypeChannel</v>
      </c>
      <c r="BB2" s="72" t="str">
        <f>HYPERLINK("#DB2", "NielsenArea + StoreType")</f>
        <v>NielsenArea + StoreType</v>
      </c>
      <c r="BC2" s="72" t="str">
        <f>HYPERLINK("#EC1", "NielsenArea + StoreTypeChannel + StoreType")</f>
        <v>NielsenArea + StoreTypeChannel + StoreType</v>
      </c>
      <c r="CA2" s="76" t="str">
        <f>HYPERLINK("#CA2", "NielsenArea + StoreTypeChannel")</f>
        <v>NielsenArea + StoreTypeChannel</v>
      </c>
      <c r="CB2" s="72" t="str">
        <f>HYPERLINK("#DB2", "NielsenArea + StoreType")</f>
        <v>NielsenArea + StoreType</v>
      </c>
      <c r="CC2" s="72" t="str">
        <f>HYPERLINK("#EC1", "NielsenArea + StoreTypeChannel + StoreType")</f>
        <v>NielsenArea + StoreTypeChannel + StoreType</v>
      </c>
      <c r="DA2" s="72" t="str">
        <f>HYPERLINK("#CA2", "NielsenArea + StoreTypeChannel")</f>
        <v>NielsenArea + StoreTypeChannel</v>
      </c>
      <c r="DB2" s="76" t="str">
        <f>HYPERLINK("#DB2", "NielsenArea + StoreType")</f>
        <v>NielsenArea + StoreType</v>
      </c>
      <c r="DC2" s="72" t="str">
        <f>HYPERLINK("#EC1", "NielsenArea + StoreTypeChannel + StoreType")</f>
        <v>NielsenArea + StoreTypeChannel + StoreType</v>
      </c>
      <c r="EA2" s="72" t="str">
        <f>HYPERLINK("#CA2", "NielsenArea + StoreTypeChannel")</f>
        <v>NielsenArea + StoreTypeChannel</v>
      </c>
      <c r="EB2" s="72" t="str">
        <f>HYPERLINK("#DB2", "NielsenArea + StoreType")</f>
        <v>NielsenArea + StoreType</v>
      </c>
      <c r="EC2" s="76" t="str">
        <f>HYPERLINK("#EC1", "NielsenArea + StoreTypeChannel + StoreType")</f>
        <v>NielsenArea + StoreTypeChannel + StoreType</v>
      </c>
    </row>
    <row r="3" spans="1:143" x14ac:dyDescent="0.3">
      <c r="B3" s="57"/>
      <c r="C3" s="57"/>
      <c r="D3" s="57"/>
      <c r="E3" s="57"/>
      <c r="F3" s="57"/>
      <c r="AA3" s="71"/>
      <c r="AB3" s="71"/>
      <c r="AC3" s="71"/>
      <c r="BA3" s="71"/>
      <c r="BB3" s="71"/>
      <c r="BC3" s="71"/>
      <c r="CA3" s="71"/>
      <c r="CB3" s="71"/>
      <c r="CC3" s="71"/>
      <c r="DA3" s="71"/>
      <c r="DB3" s="71"/>
      <c r="DC3" s="71"/>
      <c r="EA3" s="71"/>
      <c r="EB3" s="71"/>
      <c r="EC3" s="71"/>
    </row>
    <row r="4" spans="1:143" x14ac:dyDescent="0.3">
      <c r="B4" s="57"/>
      <c r="C4" s="57"/>
      <c r="D4" s="57"/>
      <c r="E4" s="57"/>
      <c r="F4" s="57"/>
      <c r="AA4" s="71"/>
      <c r="AB4" s="71"/>
      <c r="AC4" s="71"/>
      <c r="BA4" s="71"/>
      <c r="BB4" s="71"/>
      <c r="BC4" s="71"/>
      <c r="CA4" s="71"/>
      <c r="CB4" s="71"/>
      <c r="CC4" s="71"/>
      <c r="DA4" s="71"/>
      <c r="DB4" s="71"/>
      <c r="DC4" s="71"/>
      <c r="EA4" s="71"/>
      <c r="EB4" s="71"/>
      <c r="EC4" s="71"/>
    </row>
    <row r="5" spans="1:143" ht="42.6" customHeight="1" x14ac:dyDescent="0.3">
      <c r="A5" s="70" t="s">
        <v>23</v>
      </c>
      <c r="B5" s="73" t="s">
        <v>96</v>
      </c>
      <c r="C5" s="73" t="s">
        <v>97</v>
      </c>
      <c r="D5" s="73" t="s">
        <v>98</v>
      </c>
      <c r="E5" s="73" t="s">
        <v>99</v>
      </c>
      <c r="F5" s="73" t="s">
        <v>100</v>
      </c>
      <c r="G5" s="74" t="s">
        <v>101</v>
      </c>
      <c r="H5" s="74" t="s">
        <v>102</v>
      </c>
      <c r="I5" s="74" t="s">
        <v>103</v>
      </c>
      <c r="J5" s="74" t="s">
        <v>104</v>
      </c>
      <c r="K5" s="74" t="s">
        <v>105</v>
      </c>
      <c r="AA5" s="75" t="s">
        <v>24</v>
      </c>
      <c r="AB5" s="73" t="s">
        <v>96</v>
      </c>
      <c r="AC5" s="73" t="s">
        <v>97</v>
      </c>
      <c r="AD5" s="73" t="s">
        <v>98</v>
      </c>
      <c r="AE5" s="73" t="s">
        <v>99</v>
      </c>
      <c r="AF5" s="73" t="s">
        <v>100</v>
      </c>
      <c r="AG5" s="74" t="s">
        <v>101</v>
      </c>
      <c r="AH5" s="74" t="s">
        <v>102</v>
      </c>
      <c r="AI5" s="74" t="s">
        <v>103</v>
      </c>
      <c r="AJ5" s="74" t="s">
        <v>104</v>
      </c>
      <c r="AK5" s="74" t="s">
        <v>105</v>
      </c>
      <c r="BA5" s="70" t="s">
        <v>25</v>
      </c>
      <c r="BB5" s="73" t="s">
        <v>96</v>
      </c>
      <c r="BC5" s="73" t="s">
        <v>97</v>
      </c>
      <c r="BD5" s="73" t="s">
        <v>98</v>
      </c>
      <c r="BE5" s="73" t="s">
        <v>99</v>
      </c>
      <c r="BF5" s="73" t="s">
        <v>100</v>
      </c>
      <c r="BG5" s="74" t="s">
        <v>101</v>
      </c>
      <c r="BH5" s="74" t="s">
        <v>102</v>
      </c>
      <c r="BI5" s="74" t="s">
        <v>103</v>
      </c>
      <c r="BJ5" s="74" t="s">
        <v>104</v>
      </c>
      <c r="BK5" s="74" t="s">
        <v>105</v>
      </c>
      <c r="CA5" s="70" t="s">
        <v>23</v>
      </c>
      <c r="CB5" s="75" t="s">
        <v>24</v>
      </c>
      <c r="CC5" s="73" t="s">
        <v>96</v>
      </c>
      <c r="CD5" s="73" t="s">
        <v>97</v>
      </c>
      <c r="CE5" s="73" t="s">
        <v>98</v>
      </c>
      <c r="CF5" s="73" t="s">
        <v>99</v>
      </c>
      <c r="CG5" s="73" t="s">
        <v>100</v>
      </c>
      <c r="CH5" s="74" t="s">
        <v>101</v>
      </c>
      <c r="CI5" s="74" t="s">
        <v>102</v>
      </c>
      <c r="CJ5" s="74" t="s">
        <v>103</v>
      </c>
      <c r="CK5" s="74" t="s">
        <v>104</v>
      </c>
      <c r="CL5" s="74" t="s">
        <v>105</v>
      </c>
      <c r="DA5" s="70" t="s">
        <v>23</v>
      </c>
      <c r="DB5" s="70" t="s">
        <v>25</v>
      </c>
      <c r="DC5" s="73" t="s">
        <v>96</v>
      </c>
      <c r="DD5" s="73" t="s">
        <v>97</v>
      </c>
      <c r="DE5" s="73" t="s">
        <v>98</v>
      </c>
      <c r="DF5" s="73" t="s">
        <v>99</v>
      </c>
      <c r="DG5" s="73" t="s">
        <v>100</v>
      </c>
      <c r="DH5" s="74" t="s">
        <v>101</v>
      </c>
      <c r="DI5" s="74" t="s">
        <v>102</v>
      </c>
      <c r="DJ5" s="74" t="s">
        <v>103</v>
      </c>
      <c r="DK5" s="74" t="s">
        <v>104</v>
      </c>
      <c r="DL5" s="74" t="s">
        <v>105</v>
      </c>
      <c r="EA5" s="70" t="s">
        <v>23</v>
      </c>
      <c r="EB5" s="75" t="s">
        <v>24</v>
      </c>
      <c r="EC5" s="70" t="s">
        <v>25</v>
      </c>
      <c r="ED5" s="73" t="s">
        <v>96</v>
      </c>
      <c r="EE5" s="73" t="s">
        <v>97</v>
      </c>
      <c r="EF5" s="73" t="s">
        <v>98</v>
      </c>
      <c r="EG5" s="73" t="s">
        <v>99</v>
      </c>
      <c r="EH5" s="73" t="s">
        <v>100</v>
      </c>
      <c r="EI5" s="74" t="s">
        <v>101</v>
      </c>
      <c r="EJ5" s="74" t="s">
        <v>102</v>
      </c>
      <c r="EK5" s="74" t="s">
        <v>103</v>
      </c>
      <c r="EL5" s="74" t="s">
        <v>104</v>
      </c>
      <c r="EM5" s="74" t="s">
        <v>105</v>
      </c>
    </row>
    <row r="6" spans="1:143" x14ac:dyDescent="0.3">
      <c r="A6" s="57" t="s">
        <v>176</v>
      </c>
      <c r="G6" s="42"/>
      <c r="H6" s="42"/>
      <c r="I6" s="42"/>
      <c r="J6" s="42"/>
      <c r="K6" s="42"/>
      <c r="AA6" s="57" t="s">
        <v>176</v>
      </c>
      <c r="AB6" s="34"/>
      <c r="AC6" s="34"/>
      <c r="AD6" s="34"/>
      <c r="AE6" s="34"/>
      <c r="AF6" s="34"/>
      <c r="AG6" s="42"/>
      <c r="AH6" s="42"/>
      <c r="AI6" s="42"/>
      <c r="AJ6" s="42"/>
      <c r="AK6" s="42"/>
      <c r="BA6" s="57" t="s">
        <v>176</v>
      </c>
      <c r="BB6" s="34"/>
      <c r="BC6" s="34"/>
      <c r="BD6" s="34"/>
      <c r="BE6" s="34"/>
      <c r="BF6" s="34"/>
      <c r="BG6" s="42"/>
      <c r="BH6" s="42"/>
      <c r="BI6" s="42"/>
      <c r="BJ6" s="42"/>
      <c r="BK6" s="42"/>
      <c r="CA6" s="57" t="s">
        <v>176</v>
      </c>
      <c r="CB6" s="57" t="s">
        <v>176</v>
      </c>
      <c r="CC6" s="34"/>
      <c r="CD6" s="34"/>
      <c r="CE6" s="34"/>
      <c r="CF6" s="34"/>
      <c r="CG6" s="34"/>
      <c r="CH6" s="42"/>
      <c r="CI6" s="42"/>
      <c r="CJ6" s="42"/>
      <c r="CK6" s="42"/>
      <c r="CL6" s="42"/>
      <c r="DA6" s="57" t="s">
        <v>176</v>
      </c>
      <c r="DB6" s="57" t="s">
        <v>176</v>
      </c>
      <c r="DC6" s="34"/>
      <c r="DD6" s="34"/>
      <c r="DE6" s="34"/>
      <c r="DF6" s="34"/>
      <c r="DG6" s="34"/>
      <c r="DH6" s="42"/>
      <c r="DI6" s="42"/>
      <c r="DJ6" s="42"/>
      <c r="DK6" s="42"/>
      <c r="DL6" s="42"/>
      <c r="EA6" s="57" t="s">
        <v>176</v>
      </c>
      <c r="EB6" s="57" t="s">
        <v>176</v>
      </c>
      <c r="EC6" s="57" t="s">
        <v>176</v>
      </c>
      <c r="ED6" s="34"/>
      <c r="EE6" s="34"/>
      <c r="EF6" s="34"/>
      <c r="EG6" s="34"/>
      <c r="EH6" s="34"/>
      <c r="EI6" s="42"/>
      <c r="EJ6" s="42"/>
      <c r="EK6" s="42"/>
      <c r="EL6" s="42"/>
      <c r="EM6" s="42"/>
    </row>
    <row r="7" spans="1:143" x14ac:dyDescent="0.3">
      <c r="A7" s="57" t="s">
        <v>87</v>
      </c>
      <c r="G7" s="42"/>
      <c r="H7" s="42"/>
      <c r="I7" s="42"/>
      <c r="J7" s="42"/>
      <c r="K7" s="42"/>
      <c r="AA7" s="57" t="s">
        <v>87</v>
      </c>
      <c r="AB7" s="34"/>
      <c r="AC7" s="34"/>
      <c r="AD7" s="34"/>
      <c r="AE7" s="34"/>
      <c r="AF7" s="34"/>
      <c r="AG7" s="42"/>
      <c r="AH7" s="42"/>
      <c r="AI7" s="42"/>
      <c r="AJ7" s="42"/>
      <c r="AK7" s="42"/>
      <c r="BA7" s="57" t="s">
        <v>87</v>
      </c>
      <c r="BB7" s="34"/>
      <c r="BC7" s="34"/>
      <c r="BD7" s="34"/>
      <c r="BE7" s="34"/>
      <c r="BF7" s="34"/>
      <c r="BG7" s="42"/>
      <c r="BH7" s="42"/>
      <c r="BI7" s="42"/>
      <c r="BJ7" s="42"/>
      <c r="BK7" s="42"/>
      <c r="CA7" s="57" t="s">
        <v>87</v>
      </c>
      <c r="CC7" s="34"/>
      <c r="CD7" s="34"/>
      <c r="CE7" s="34"/>
      <c r="CF7" s="34"/>
      <c r="CG7" s="34"/>
      <c r="CH7" s="42"/>
      <c r="CI7" s="42"/>
      <c r="CJ7" s="42"/>
      <c r="CK7" s="42"/>
      <c r="CL7" s="42"/>
      <c r="DA7" s="57" t="s">
        <v>87</v>
      </c>
      <c r="DC7" s="34"/>
      <c r="DD7" s="34"/>
      <c r="DE7" s="34"/>
      <c r="DF7" s="34"/>
      <c r="DG7" s="34"/>
      <c r="DH7" s="42"/>
      <c r="DI7" s="42"/>
      <c r="DJ7" s="42"/>
      <c r="DK7" s="42"/>
      <c r="DL7" s="42"/>
      <c r="EA7" s="57" t="s">
        <v>87</v>
      </c>
      <c r="ED7" s="34"/>
      <c r="EE7" s="34"/>
      <c r="EF7" s="34"/>
      <c r="EG7" s="34"/>
      <c r="EH7" s="34"/>
      <c r="EI7" s="42"/>
      <c r="EJ7" s="42"/>
      <c r="EK7" s="42"/>
      <c r="EL7" s="42"/>
      <c r="EM7" s="42"/>
    </row>
    <row r="8" spans="1:143" x14ac:dyDescent="0.3">
      <c r="A8"/>
      <c r="B8"/>
      <c r="C8"/>
      <c r="D8"/>
      <c r="E8"/>
      <c r="F8"/>
      <c r="G8" s="42"/>
      <c r="H8" s="42"/>
      <c r="I8" s="42"/>
      <c r="J8" s="42"/>
      <c r="K8" s="42"/>
      <c r="AA8"/>
      <c r="AB8"/>
      <c r="AC8"/>
      <c r="AD8"/>
      <c r="AE8"/>
      <c r="AF8"/>
      <c r="AG8" s="42"/>
      <c r="AH8" s="42"/>
      <c r="AI8" s="42"/>
      <c r="AJ8" s="42"/>
      <c r="AK8" s="42"/>
      <c r="BA8"/>
      <c r="BB8"/>
      <c r="BC8"/>
      <c r="BD8"/>
      <c r="BE8"/>
      <c r="BF8"/>
      <c r="BG8" s="42"/>
      <c r="BH8" s="42"/>
      <c r="BI8" s="42"/>
      <c r="BJ8" s="42"/>
      <c r="BK8" s="42"/>
      <c r="CA8"/>
      <c r="CB8"/>
      <c r="CC8"/>
      <c r="CD8"/>
      <c r="CE8"/>
      <c r="CF8"/>
      <c r="CG8"/>
      <c r="CH8" s="42"/>
      <c r="CI8" s="42"/>
      <c r="CJ8" s="42"/>
      <c r="CK8" s="42"/>
      <c r="CL8" s="42"/>
      <c r="DA8"/>
      <c r="DB8"/>
      <c r="DC8"/>
      <c r="DD8"/>
      <c r="DE8"/>
      <c r="DF8"/>
      <c r="DG8"/>
      <c r="DH8" s="42"/>
      <c r="DI8" s="42"/>
      <c r="DJ8" s="42"/>
      <c r="DK8" s="42"/>
      <c r="DL8" s="42"/>
      <c r="EA8"/>
      <c r="EB8"/>
      <c r="EC8"/>
      <c r="ED8"/>
      <c r="EE8"/>
      <c r="EF8"/>
      <c r="EG8"/>
      <c r="EH8"/>
      <c r="EI8" s="42"/>
      <c r="EJ8" s="42"/>
      <c r="EK8" s="42"/>
      <c r="EL8" s="42"/>
      <c r="EM8" s="42"/>
    </row>
    <row r="9" spans="1:143" x14ac:dyDescent="0.3">
      <c r="A9"/>
      <c r="B9"/>
      <c r="C9"/>
      <c r="D9"/>
      <c r="E9"/>
      <c r="F9"/>
      <c r="G9" s="42"/>
      <c r="H9" s="42"/>
      <c r="I9" s="42"/>
      <c r="J9" s="42"/>
      <c r="K9" s="42"/>
      <c r="AA9"/>
      <c r="AB9"/>
      <c r="AC9"/>
      <c r="AD9"/>
      <c r="AE9"/>
      <c r="AF9"/>
      <c r="AG9" s="42"/>
      <c r="AH9" s="42"/>
      <c r="AI9" s="42"/>
      <c r="AJ9" s="42"/>
      <c r="AK9" s="42"/>
      <c r="BA9"/>
      <c r="BB9"/>
      <c r="BC9"/>
      <c r="BD9"/>
      <c r="BE9"/>
      <c r="BF9"/>
      <c r="BG9" s="42"/>
      <c r="BH9" s="42"/>
      <c r="BI9" s="42"/>
      <c r="BJ9" s="42"/>
      <c r="BK9" s="42"/>
      <c r="CA9"/>
      <c r="CB9"/>
      <c r="CC9"/>
      <c r="CD9"/>
      <c r="CE9"/>
      <c r="CF9"/>
      <c r="CG9"/>
      <c r="CH9" s="42"/>
      <c r="CI9" s="42"/>
      <c r="CJ9" s="42"/>
      <c r="CK9" s="42"/>
      <c r="CL9" s="42"/>
      <c r="DA9"/>
      <c r="DB9"/>
      <c r="DC9"/>
      <c r="DD9"/>
      <c r="DE9"/>
      <c r="DF9"/>
      <c r="DG9"/>
      <c r="DH9" s="42"/>
      <c r="DI9" s="42"/>
      <c r="DJ9" s="42"/>
      <c r="DK9" s="42"/>
      <c r="DL9" s="42"/>
      <c r="EA9"/>
      <c r="EB9"/>
      <c r="EC9"/>
      <c r="ED9"/>
      <c r="EE9"/>
      <c r="EF9"/>
      <c r="EG9"/>
      <c r="EH9"/>
      <c r="EI9" s="42"/>
      <c r="EJ9" s="42"/>
      <c r="EK9" s="42"/>
      <c r="EL9" s="42"/>
      <c r="EM9" s="42"/>
    </row>
    <row r="10" spans="1:143" x14ac:dyDescent="0.3">
      <c r="A10"/>
      <c r="B10"/>
      <c r="C10"/>
      <c r="D10"/>
      <c r="E10"/>
      <c r="F10"/>
      <c r="G10" s="42"/>
      <c r="H10" s="42"/>
      <c r="I10" s="42"/>
      <c r="J10" s="42"/>
      <c r="K10" s="42"/>
      <c r="AA10"/>
      <c r="AB10"/>
      <c r="AC10"/>
      <c r="AD10"/>
      <c r="AE10"/>
      <c r="AF10"/>
      <c r="AG10"/>
      <c r="BA10"/>
      <c r="BB10"/>
      <c r="BC10"/>
      <c r="BD10"/>
      <c r="BE10"/>
      <c r="BF10"/>
      <c r="BG10" s="42"/>
      <c r="BH10" s="42"/>
      <c r="BI10" s="42"/>
      <c r="BJ10" s="42"/>
      <c r="BK10" s="42"/>
      <c r="CA10"/>
      <c r="CB10"/>
      <c r="CC10"/>
      <c r="CD10"/>
      <c r="CE10"/>
      <c r="CF10"/>
      <c r="CG10"/>
      <c r="CH10" s="42"/>
      <c r="CI10" s="42"/>
      <c r="CJ10" s="42"/>
      <c r="CK10" s="42"/>
      <c r="CL10" s="42"/>
      <c r="DA10"/>
      <c r="DB10"/>
      <c r="DC10"/>
      <c r="DD10"/>
      <c r="DE10"/>
      <c r="DF10"/>
      <c r="DG10"/>
      <c r="DH10" s="42"/>
      <c r="DI10" s="42"/>
      <c r="DJ10" s="42"/>
      <c r="DK10" s="42"/>
      <c r="DL10" s="42"/>
      <c r="EA10"/>
      <c r="EB10"/>
      <c r="EC10"/>
      <c r="ED10"/>
      <c r="EE10"/>
      <c r="EF10"/>
      <c r="EG10"/>
      <c r="EH10"/>
      <c r="EI10" s="42"/>
      <c r="EJ10" s="42"/>
      <c r="EK10" s="42"/>
      <c r="EL10" s="42"/>
      <c r="EM10" s="42"/>
    </row>
    <row r="11" spans="1:143" x14ac:dyDescent="0.3">
      <c r="A11"/>
      <c r="B11"/>
      <c r="C11"/>
      <c r="D11"/>
      <c r="E11"/>
      <c r="F11"/>
      <c r="G11" s="42"/>
      <c r="H11" s="42"/>
      <c r="I11" s="42"/>
      <c r="J11" s="42"/>
      <c r="K11" s="42"/>
      <c r="AA11"/>
      <c r="AB11"/>
      <c r="AC11"/>
      <c r="AD11"/>
      <c r="AE11"/>
      <c r="AF11"/>
      <c r="AG11"/>
      <c r="BA11"/>
      <c r="BB11"/>
      <c r="BC11"/>
      <c r="BD11"/>
      <c r="BE11"/>
      <c r="BF11"/>
      <c r="BG11" s="42"/>
      <c r="BH11" s="42"/>
      <c r="BI11" s="42"/>
      <c r="BJ11" s="42"/>
      <c r="BK11" s="42"/>
      <c r="CA11"/>
      <c r="CB11"/>
      <c r="CC11"/>
      <c r="CD11"/>
      <c r="CE11"/>
      <c r="CF11"/>
      <c r="CG11"/>
      <c r="CH11" s="42"/>
      <c r="CI11" s="42"/>
      <c r="CJ11" s="42"/>
      <c r="CK11" s="42"/>
      <c r="CL11" s="42"/>
      <c r="DA11"/>
      <c r="DB11"/>
      <c r="DC11"/>
      <c r="DD11"/>
      <c r="DE11"/>
      <c r="DF11"/>
      <c r="DG11"/>
      <c r="DH11" s="42"/>
      <c r="DI11" s="42"/>
      <c r="DJ11" s="42"/>
      <c r="DK11" s="42"/>
      <c r="DL11" s="42"/>
      <c r="EA11"/>
      <c r="EB11"/>
      <c r="EC11"/>
      <c r="ED11"/>
      <c r="EE11"/>
      <c r="EF11"/>
      <c r="EG11"/>
      <c r="EH11"/>
      <c r="EI11" s="42"/>
      <c r="EJ11" s="42"/>
      <c r="EK11" s="42"/>
      <c r="EL11" s="42"/>
      <c r="EM11" s="42"/>
    </row>
    <row r="12" spans="1:143" x14ac:dyDescent="0.3">
      <c r="A12"/>
      <c r="B12"/>
      <c r="C12"/>
      <c r="D12"/>
      <c r="E12"/>
      <c r="F12"/>
      <c r="G12" s="42"/>
      <c r="H12" s="42"/>
      <c r="I12" s="42"/>
      <c r="J12" s="42"/>
      <c r="K12" s="42"/>
      <c r="AA12"/>
      <c r="AB12"/>
      <c r="AC12"/>
      <c r="AD12"/>
      <c r="AE12"/>
      <c r="AF12"/>
      <c r="AG12"/>
      <c r="BA12"/>
      <c r="BB12"/>
      <c r="BC12"/>
      <c r="BD12"/>
      <c r="BE12"/>
      <c r="BF12"/>
      <c r="BG12" s="42"/>
      <c r="BH12" s="42"/>
      <c r="BI12" s="42"/>
      <c r="BJ12" s="42"/>
      <c r="BK12" s="42"/>
      <c r="CA12"/>
      <c r="CB12"/>
      <c r="CC12"/>
      <c r="CD12"/>
      <c r="CE12"/>
      <c r="CF12"/>
      <c r="CG12"/>
      <c r="CH12" s="42"/>
      <c r="CI12" s="42"/>
      <c r="CJ12" s="42"/>
      <c r="CK12" s="42"/>
      <c r="CL12" s="42"/>
      <c r="DA12"/>
      <c r="DB12"/>
      <c r="DC12"/>
      <c r="DD12"/>
      <c r="DE12"/>
      <c r="DF12"/>
      <c r="DG12"/>
      <c r="DH12" s="42"/>
      <c r="DI12" s="42"/>
      <c r="DJ12" s="42"/>
      <c r="DK12" s="42"/>
      <c r="DL12" s="42"/>
      <c r="EA12"/>
      <c r="EB12"/>
      <c r="EC12"/>
      <c r="ED12"/>
      <c r="EE12"/>
      <c r="EF12"/>
      <c r="EG12"/>
      <c r="EH12"/>
      <c r="EI12" s="42"/>
      <c r="EJ12" s="42"/>
      <c r="EK12" s="42"/>
      <c r="EL12" s="42"/>
      <c r="EM12" s="42"/>
    </row>
    <row r="13" spans="1:143" x14ac:dyDescent="0.3">
      <c r="A13"/>
      <c r="B13"/>
      <c r="C13"/>
      <c r="D13"/>
      <c r="E13"/>
      <c r="F13"/>
      <c r="G13" s="42"/>
      <c r="H13" s="42"/>
      <c r="I13" s="42"/>
      <c r="J13" s="42"/>
      <c r="K13" s="42"/>
      <c r="AA13"/>
      <c r="AB13"/>
      <c r="AC13"/>
      <c r="AD13"/>
      <c r="AE13"/>
      <c r="AF13"/>
      <c r="AG13"/>
      <c r="BA13"/>
      <c r="BB13"/>
      <c r="BC13"/>
      <c r="BD13"/>
      <c r="BE13"/>
      <c r="BF13"/>
      <c r="BG13" s="42"/>
      <c r="BH13" s="42"/>
      <c r="BI13" s="42"/>
      <c r="BJ13" s="42"/>
      <c r="BK13" s="42"/>
      <c r="CA13"/>
      <c r="CB13"/>
      <c r="CC13"/>
      <c r="CD13"/>
      <c r="CE13"/>
      <c r="CF13"/>
      <c r="CG13"/>
      <c r="CH13" s="42"/>
      <c r="CI13" s="42"/>
      <c r="CJ13" s="42"/>
      <c r="CK13" s="42"/>
      <c r="CL13" s="42"/>
      <c r="DA13"/>
      <c r="DB13"/>
      <c r="DC13"/>
      <c r="DD13"/>
      <c r="DE13"/>
      <c r="DF13"/>
      <c r="DG13"/>
      <c r="DH13" s="42"/>
      <c r="DI13" s="42"/>
      <c r="DJ13" s="42"/>
      <c r="DK13" s="42"/>
      <c r="DL13" s="42"/>
      <c r="EA13"/>
      <c r="EB13"/>
      <c r="EC13"/>
      <c r="ED13"/>
      <c r="EE13"/>
      <c r="EF13"/>
      <c r="EG13"/>
      <c r="EH13"/>
      <c r="EI13" s="42"/>
      <c r="EJ13" s="42"/>
      <c r="EK13" s="42"/>
      <c r="EL13" s="42"/>
      <c r="EM13" s="42"/>
    </row>
    <row r="14" spans="1:143" x14ac:dyDescent="0.3">
      <c r="A14"/>
      <c r="B14"/>
      <c r="C14"/>
      <c r="D14"/>
      <c r="E14"/>
      <c r="F14"/>
      <c r="G14" s="42"/>
      <c r="H14" s="42"/>
      <c r="I14" s="42"/>
      <c r="J14" s="42"/>
      <c r="K14" s="42"/>
      <c r="AA14"/>
      <c r="AB14"/>
      <c r="AC14"/>
      <c r="AD14"/>
      <c r="AE14"/>
      <c r="AF14"/>
      <c r="AG14"/>
      <c r="BA14"/>
      <c r="BB14"/>
      <c r="BC14"/>
      <c r="BD14"/>
      <c r="BE14"/>
      <c r="BF14"/>
      <c r="BG14" s="42"/>
      <c r="BH14" s="42"/>
      <c r="BI14" s="42"/>
      <c r="BJ14" s="42"/>
      <c r="BK14" s="42"/>
      <c r="CA14"/>
      <c r="CB14"/>
      <c r="CC14"/>
      <c r="CD14"/>
      <c r="CE14"/>
      <c r="CF14"/>
      <c r="CG14"/>
      <c r="CH14" s="42"/>
      <c r="CI14" s="42"/>
      <c r="CJ14" s="42"/>
      <c r="CK14" s="42"/>
      <c r="CL14" s="42"/>
      <c r="DA14"/>
      <c r="DB14"/>
      <c r="DC14"/>
      <c r="DD14"/>
      <c r="DE14"/>
      <c r="DF14"/>
      <c r="DG14"/>
      <c r="DH14" s="42"/>
      <c r="DI14" s="42"/>
      <c r="DJ14" s="42"/>
      <c r="DK14" s="42"/>
      <c r="DL14" s="42"/>
      <c r="EA14"/>
      <c r="EB14"/>
      <c r="EC14"/>
      <c r="ED14"/>
      <c r="EE14"/>
      <c r="EF14"/>
      <c r="EG14"/>
      <c r="EH14"/>
      <c r="EI14" s="42"/>
      <c r="EJ14" s="42"/>
      <c r="EK14" s="42"/>
      <c r="EL14" s="42"/>
      <c r="EM14" s="42"/>
    </row>
    <row r="15" spans="1:143" x14ac:dyDescent="0.3">
      <c r="AA15"/>
      <c r="AB15"/>
      <c r="AC15"/>
      <c r="AD15"/>
      <c r="AE15"/>
      <c r="AF15"/>
      <c r="AG15"/>
      <c r="BA15"/>
      <c r="BB15"/>
      <c r="BC15"/>
      <c r="BD15"/>
      <c r="BE15"/>
      <c r="BF15"/>
      <c r="BG15" s="42"/>
      <c r="BH15" s="42"/>
      <c r="BI15" s="42"/>
      <c r="BJ15" s="42"/>
      <c r="BK15" s="42"/>
      <c r="CA15"/>
      <c r="CB15"/>
      <c r="CC15"/>
      <c r="CD15"/>
      <c r="CE15"/>
      <c r="CF15"/>
      <c r="CG15"/>
      <c r="CH15" s="42"/>
      <c r="CI15" s="42"/>
      <c r="CJ15" s="42"/>
      <c r="CK15" s="42"/>
      <c r="CL15" s="42"/>
      <c r="DA15"/>
      <c r="DB15"/>
      <c r="DC15"/>
      <c r="DD15"/>
      <c r="DE15"/>
      <c r="DF15"/>
      <c r="DG15"/>
      <c r="DH15" s="42"/>
      <c r="DI15" s="42"/>
      <c r="DJ15" s="42"/>
      <c r="DK15" s="42"/>
      <c r="DL15" s="42"/>
      <c r="EA15"/>
      <c r="EB15"/>
      <c r="EC15"/>
      <c r="ED15"/>
      <c r="EE15"/>
      <c r="EF15"/>
      <c r="EG15"/>
      <c r="EH15"/>
      <c r="EI15" s="42"/>
      <c r="EJ15" s="42"/>
      <c r="EK15" s="42"/>
      <c r="EL15" s="42"/>
      <c r="EM15" s="42"/>
    </row>
    <row r="16" spans="1:143" x14ac:dyDescent="0.3">
      <c r="AA16"/>
      <c r="AB16"/>
      <c r="AC16"/>
      <c r="AD16"/>
      <c r="AE16"/>
      <c r="AF16"/>
      <c r="AG16"/>
      <c r="BA16"/>
      <c r="BB16"/>
      <c r="BC16"/>
      <c r="BD16"/>
      <c r="BE16"/>
      <c r="BF16"/>
      <c r="BG16" s="42"/>
      <c r="BH16" s="42"/>
      <c r="BI16" s="42"/>
      <c r="BJ16" s="42"/>
      <c r="BK16" s="42"/>
      <c r="CA16"/>
      <c r="CB16"/>
      <c r="CC16"/>
      <c r="CD16"/>
      <c r="CE16"/>
      <c r="CF16"/>
      <c r="CG16"/>
      <c r="CH16" s="42"/>
      <c r="CI16" s="42"/>
      <c r="CJ16" s="42"/>
      <c r="CK16" s="42"/>
      <c r="CL16" s="42"/>
      <c r="DA16"/>
      <c r="DB16"/>
      <c r="DC16"/>
      <c r="DD16"/>
      <c r="DE16"/>
      <c r="DF16"/>
      <c r="DG16"/>
      <c r="DH16" s="42"/>
      <c r="DI16" s="42"/>
      <c r="DJ16" s="42"/>
      <c r="DK16" s="42"/>
      <c r="DL16" s="42"/>
      <c r="EA16"/>
      <c r="EB16"/>
      <c r="EC16"/>
      <c r="ED16"/>
      <c r="EE16"/>
      <c r="EF16"/>
      <c r="EG16"/>
      <c r="EH16"/>
      <c r="EI16" s="42"/>
      <c r="EJ16" s="42"/>
      <c r="EK16" s="42"/>
      <c r="EL16" s="42"/>
      <c r="EM16" s="42"/>
    </row>
    <row r="17" spans="27:143" x14ac:dyDescent="0.3">
      <c r="AA17"/>
      <c r="AB17"/>
      <c r="AC17"/>
      <c r="AD17"/>
      <c r="AE17"/>
      <c r="AF17"/>
      <c r="AG17"/>
      <c r="CA17"/>
      <c r="CB17"/>
      <c r="CC17"/>
      <c r="CD17"/>
      <c r="CE17"/>
      <c r="CF17"/>
      <c r="CG17"/>
      <c r="CH17" s="42"/>
      <c r="CI17" s="42"/>
      <c r="CJ17" s="42"/>
      <c r="CK17" s="42"/>
      <c r="CL17" s="42"/>
      <c r="DA17"/>
      <c r="DB17"/>
      <c r="DC17"/>
      <c r="DD17"/>
      <c r="DE17"/>
      <c r="DF17"/>
      <c r="DG17"/>
      <c r="DH17" s="42"/>
      <c r="DI17" s="42"/>
      <c r="DJ17" s="42"/>
      <c r="DK17" s="42"/>
      <c r="DL17" s="42"/>
      <c r="EA17"/>
      <c r="EB17"/>
      <c r="EC17"/>
      <c r="ED17"/>
      <c r="EE17"/>
      <c r="EF17"/>
      <c r="EG17"/>
      <c r="EH17"/>
      <c r="EI17" s="42"/>
      <c r="EJ17" s="42"/>
      <c r="EK17" s="42"/>
      <c r="EL17" s="42"/>
      <c r="EM17" s="42"/>
    </row>
    <row r="18" spans="27:143" x14ac:dyDescent="0.3">
      <c r="AA18"/>
      <c r="AB18"/>
      <c r="AC18"/>
      <c r="AD18"/>
      <c r="AE18"/>
      <c r="AF18"/>
      <c r="AG18"/>
      <c r="CA18"/>
      <c r="CB18"/>
      <c r="CC18"/>
      <c r="CD18"/>
      <c r="CE18"/>
      <c r="CF18"/>
      <c r="CG18"/>
      <c r="CH18" s="42"/>
      <c r="CI18" s="42"/>
      <c r="CJ18" s="42"/>
      <c r="CK18" s="42"/>
      <c r="CL18" s="42"/>
      <c r="DA18"/>
      <c r="DB18"/>
      <c r="DC18"/>
      <c r="DD18"/>
      <c r="DE18"/>
      <c r="DF18"/>
      <c r="DG18"/>
      <c r="DH18" s="42"/>
      <c r="DI18" s="42"/>
      <c r="DJ18" s="42"/>
      <c r="DK18" s="42"/>
      <c r="DL18" s="42"/>
      <c r="EA18"/>
      <c r="EB18"/>
      <c r="EC18"/>
      <c r="ED18"/>
      <c r="EE18"/>
      <c r="EF18"/>
      <c r="EG18"/>
      <c r="EH18"/>
      <c r="EI18" s="42"/>
      <c r="EJ18" s="42"/>
      <c r="EK18" s="42"/>
      <c r="EL18" s="42"/>
      <c r="EM18" s="42"/>
    </row>
    <row r="19" spans="27:143" x14ac:dyDescent="0.3">
      <c r="AA19"/>
      <c r="AB19"/>
      <c r="AC19"/>
      <c r="AD19"/>
      <c r="AE19"/>
      <c r="AF19"/>
      <c r="AG19"/>
      <c r="CA19"/>
      <c r="CB19"/>
      <c r="CC19"/>
      <c r="CD19"/>
      <c r="CE19"/>
      <c r="CF19"/>
      <c r="CG19"/>
      <c r="CH19" s="42"/>
      <c r="CI19" s="42"/>
      <c r="CJ19" s="42"/>
      <c r="CK19" s="42"/>
      <c r="CL19" s="42"/>
      <c r="DA19"/>
      <c r="DB19"/>
      <c r="DC19"/>
      <c r="DD19"/>
      <c r="DE19"/>
      <c r="DF19"/>
      <c r="DG19"/>
      <c r="DH19" s="42"/>
      <c r="DI19" s="42"/>
      <c r="DJ19" s="42"/>
      <c r="DK19" s="42"/>
      <c r="DL19" s="42"/>
      <c r="EA19"/>
      <c r="EB19"/>
      <c r="EC19"/>
      <c r="ED19"/>
      <c r="EE19"/>
      <c r="EF19"/>
      <c r="EG19"/>
      <c r="EH19"/>
      <c r="EI19" s="42"/>
      <c r="EJ19" s="42"/>
      <c r="EK19" s="42"/>
      <c r="EL19" s="42"/>
      <c r="EM19" s="42"/>
    </row>
    <row r="20" spans="27:143" x14ac:dyDescent="0.3">
      <c r="AA20"/>
      <c r="AB20"/>
      <c r="AC20"/>
      <c r="AD20"/>
      <c r="AE20"/>
      <c r="AF20"/>
      <c r="AG20"/>
      <c r="CA20"/>
      <c r="CB20"/>
      <c r="CC20"/>
      <c r="CD20"/>
      <c r="CE20"/>
      <c r="CF20"/>
      <c r="CG20"/>
      <c r="CH20" s="42"/>
      <c r="CI20" s="42"/>
      <c r="CJ20" s="42"/>
      <c r="CK20" s="42"/>
      <c r="CL20" s="42"/>
      <c r="DA20"/>
      <c r="DB20"/>
      <c r="DC20"/>
      <c r="DD20"/>
      <c r="DE20"/>
      <c r="DF20"/>
      <c r="DG20"/>
      <c r="DH20" s="42"/>
      <c r="DI20" s="42"/>
      <c r="DJ20" s="42"/>
      <c r="DK20" s="42"/>
      <c r="DL20" s="42"/>
      <c r="EA20"/>
      <c r="EB20"/>
      <c r="EC20"/>
      <c r="ED20"/>
      <c r="EE20"/>
      <c r="EF20"/>
      <c r="EG20"/>
      <c r="EH20"/>
      <c r="EI20" s="42"/>
      <c r="EJ20" s="42"/>
      <c r="EK20" s="42"/>
      <c r="EL20" s="42"/>
      <c r="EM20" s="42"/>
    </row>
    <row r="21" spans="27:143" x14ac:dyDescent="0.3">
      <c r="AA21"/>
      <c r="AB21"/>
      <c r="AC21"/>
      <c r="AD21"/>
      <c r="AE21"/>
      <c r="AF21"/>
      <c r="AG21"/>
      <c r="CA21"/>
      <c r="CB21"/>
      <c r="CC21"/>
      <c r="CD21"/>
      <c r="CE21"/>
      <c r="CF21"/>
      <c r="CG21"/>
      <c r="CH21" s="42"/>
      <c r="CI21" s="42"/>
      <c r="CJ21" s="42"/>
      <c r="CK21" s="42"/>
      <c r="CL21" s="42"/>
      <c r="DA21"/>
      <c r="DB21"/>
      <c r="DC21"/>
      <c r="DD21"/>
      <c r="DE21"/>
      <c r="DF21"/>
      <c r="DG21"/>
      <c r="DH21" s="42"/>
      <c r="DI21" s="42"/>
      <c r="DJ21" s="42"/>
      <c r="DK21" s="42"/>
      <c r="DL21" s="42"/>
      <c r="EA21"/>
      <c r="EB21"/>
      <c r="EC21"/>
      <c r="ED21"/>
      <c r="EE21"/>
      <c r="EF21"/>
      <c r="EG21"/>
      <c r="EH21"/>
      <c r="EI21" s="42"/>
      <c r="EJ21" s="42"/>
      <c r="EK21" s="42"/>
      <c r="EL21" s="42"/>
      <c r="EM21" s="42"/>
    </row>
    <row r="22" spans="27:143" x14ac:dyDescent="0.3">
      <c r="AA22"/>
      <c r="AB22"/>
      <c r="AC22"/>
      <c r="AD22"/>
      <c r="AE22"/>
      <c r="AF22"/>
      <c r="AG22"/>
      <c r="CA22"/>
      <c r="CB22"/>
      <c r="CC22"/>
      <c r="CD22"/>
      <c r="CE22"/>
      <c r="CF22"/>
      <c r="CG22"/>
      <c r="CH22" s="42"/>
      <c r="CI22" s="42"/>
      <c r="CJ22" s="42"/>
      <c r="CK22" s="42"/>
      <c r="CL22" s="42"/>
      <c r="DA22"/>
      <c r="DB22"/>
      <c r="DC22"/>
      <c r="DD22"/>
      <c r="DE22"/>
      <c r="DF22"/>
      <c r="DG22"/>
      <c r="DH22" s="42"/>
      <c r="DI22" s="42"/>
      <c r="DJ22" s="42"/>
      <c r="DK22" s="42"/>
      <c r="DL22" s="42"/>
      <c r="EA22"/>
      <c r="EB22"/>
      <c r="EC22"/>
      <c r="ED22"/>
      <c r="EE22"/>
      <c r="EF22"/>
      <c r="EG22"/>
      <c r="EH22"/>
      <c r="EI22" s="42"/>
      <c r="EJ22" s="42"/>
      <c r="EK22" s="42"/>
      <c r="EL22" s="42"/>
      <c r="EM22" s="42"/>
    </row>
    <row r="23" spans="27:143" x14ac:dyDescent="0.3">
      <c r="AA23"/>
      <c r="AB23"/>
      <c r="AC23"/>
      <c r="AD23"/>
      <c r="AE23"/>
      <c r="AF23"/>
      <c r="AG23"/>
      <c r="CA23"/>
      <c r="CB23"/>
      <c r="CC23"/>
      <c r="CD23"/>
      <c r="CE23"/>
      <c r="CF23"/>
      <c r="CG23"/>
      <c r="CH23" s="42"/>
      <c r="CI23" s="42"/>
      <c r="CJ23" s="42"/>
      <c r="CK23" s="42"/>
      <c r="CL23" s="42"/>
      <c r="DA23"/>
      <c r="DB23"/>
      <c r="DC23"/>
      <c r="DD23"/>
      <c r="DE23"/>
      <c r="DF23"/>
      <c r="DG23"/>
      <c r="DH23" s="42"/>
      <c r="DI23" s="42"/>
      <c r="DJ23" s="42"/>
      <c r="DK23" s="42"/>
      <c r="DL23" s="42"/>
      <c r="EA23"/>
      <c r="EB23"/>
      <c r="EC23"/>
      <c r="ED23"/>
      <c r="EE23"/>
      <c r="EF23"/>
      <c r="EG23"/>
      <c r="EH23"/>
      <c r="EI23" s="42"/>
      <c r="EJ23" s="42"/>
      <c r="EK23" s="42"/>
      <c r="EL23" s="42"/>
      <c r="EM23" s="42"/>
    </row>
    <row r="24" spans="27:143" x14ac:dyDescent="0.3">
      <c r="AA24"/>
      <c r="AB24"/>
      <c r="AC24"/>
      <c r="AD24"/>
      <c r="AE24"/>
      <c r="AF24"/>
      <c r="AG24"/>
      <c r="CA24"/>
      <c r="CB24"/>
      <c r="CC24"/>
      <c r="CD24"/>
      <c r="CE24"/>
      <c r="CF24"/>
      <c r="CG24"/>
      <c r="CH24" s="42"/>
      <c r="CI24" s="42"/>
      <c r="CJ24" s="42"/>
      <c r="CK24" s="42"/>
      <c r="CL24" s="42"/>
      <c r="DA24"/>
      <c r="DB24"/>
      <c r="DC24"/>
      <c r="DD24"/>
      <c r="DE24"/>
      <c r="DF24"/>
      <c r="DG24"/>
      <c r="DH24" s="42"/>
      <c r="DI24" s="42"/>
      <c r="DJ24" s="42"/>
      <c r="DK24" s="42"/>
      <c r="DL24" s="42"/>
      <c r="EA24"/>
      <c r="EB24"/>
      <c r="EC24"/>
      <c r="ED24"/>
      <c r="EE24"/>
      <c r="EF24"/>
      <c r="EG24"/>
      <c r="EH24"/>
      <c r="EI24" s="42"/>
      <c r="EJ24" s="42"/>
      <c r="EK24" s="42"/>
      <c r="EL24" s="42"/>
      <c r="EM24" s="42"/>
    </row>
    <row r="25" spans="27:143" x14ac:dyDescent="0.3">
      <c r="AA25"/>
      <c r="AB25"/>
      <c r="AC25"/>
      <c r="AD25"/>
      <c r="AE25"/>
      <c r="AF25"/>
      <c r="AG25"/>
      <c r="CA25"/>
      <c r="CB25"/>
      <c r="CC25"/>
      <c r="CD25"/>
      <c r="CE25"/>
      <c r="CF25"/>
      <c r="CG25"/>
      <c r="CH25" s="42"/>
      <c r="CI25" s="42"/>
      <c r="CJ25" s="42"/>
      <c r="CK25" s="42"/>
      <c r="CL25" s="42"/>
      <c r="DA25"/>
      <c r="DB25"/>
      <c r="DC25"/>
      <c r="DD25"/>
      <c r="DE25"/>
      <c r="DF25"/>
      <c r="DG25"/>
      <c r="DH25" s="42"/>
      <c r="DI25" s="42"/>
      <c r="DJ25" s="42"/>
      <c r="DK25" s="42"/>
      <c r="DL25" s="42"/>
      <c r="EA25"/>
      <c r="EB25"/>
      <c r="EC25"/>
      <c r="ED25"/>
      <c r="EE25"/>
      <c r="EF25"/>
      <c r="EG25"/>
      <c r="EH25"/>
      <c r="EI25" s="42"/>
      <c r="EJ25" s="42"/>
      <c r="EK25" s="42"/>
      <c r="EL25" s="42"/>
      <c r="EM25" s="42"/>
    </row>
    <row r="26" spans="27:143" x14ac:dyDescent="0.3">
      <c r="AA26"/>
      <c r="AB26"/>
      <c r="AC26"/>
      <c r="AD26"/>
      <c r="AE26"/>
      <c r="AF26"/>
      <c r="AG26"/>
      <c r="CA26"/>
      <c r="CB26"/>
      <c r="CC26"/>
      <c r="CD26"/>
      <c r="CE26"/>
      <c r="CF26"/>
      <c r="CG26"/>
      <c r="CH26" s="42"/>
      <c r="CI26" s="42"/>
      <c r="CJ26" s="42"/>
      <c r="CK26" s="42"/>
      <c r="CL26" s="42"/>
      <c r="DA26"/>
      <c r="DB26"/>
      <c r="DC26"/>
      <c r="DD26"/>
      <c r="DE26"/>
      <c r="DF26"/>
      <c r="DG26"/>
      <c r="DH26" s="42"/>
      <c r="DI26" s="42"/>
      <c r="DJ26" s="42"/>
      <c r="DK26" s="42"/>
      <c r="DL26" s="42"/>
      <c r="EA26"/>
      <c r="EB26"/>
      <c r="EC26"/>
      <c r="ED26"/>
      <c r="EE26"/>
      <c r="EF26"/>
      <c r="EG26"/>
      <c r="EH26"/>
      <c r="EI26" s="42"/>
      <c r="EJ26" s="42"/>
      <c r="EK26" s="42"/>
      <c r="EL26" s="42"/>
      <c r="EM26" s="42"/>
    </row>
    <row r="27" spans="27:143" x14ac:dyDescent="0.3">
      <c r="AA27"/>
      <c r="AB27"/>
      <c r="AC27"/>
      <c r="AD27"/>
      <c r="AE27"/>
      <c r="AF27"/>
      <c r="AG27"/>
      <c r="CA27"/>
      <c r="CB27"/>
      <c r="CC27"/>
      <c r="CD27"/>
      <c r="CE27"/>
      <c r="CF27"/>
      <c r="CG27"/>
      <c r="CH27" s="42"/>
      <c r="CI27" s="42"/>
      <c r="CJ27" s="42"/>
      <c r="CK27" s="42"/>
      <c r="CL27" s="42"/>
      <c r="DA27"/>
      <c r="DB27"/>
      <c r="DC27"/>
      <c r="DD27"/>
      <c r="DE27"/>
      <c r="DF27"/>
      <c r="DG27"/>
      <c r="DH27" s="42"/>
      <c r="DI27" s="42"/>
      <c r="DJ27" s="42"/>
      <c r="DK27" s="42"/>
      <c r="DL27" s="42"/>
      <c r="EA27"/>
      <c r="EB27"/>
      <c r="EC27"/>
      <c r="ED27"/>
      <c r="EE27"/>
      <c r="EF27"/>
      <c r="EG27"/>
      <c r="EH27"/>
      <c r="EI27" s="42"/>
      <c r="EJ27" s="42"/>
      <c r="EK27" s="42"/>
      <c r="EL27" s="42"/>
      <c r="EM27" s="42"/>
    </row>
    <row r="28" spans="27:143" x14ac:dyDescent="0.3">
      <c r="AA28"/>
      <c r="AB28"/>
      <c r="AC28"/>
      <c r="AD28"/>
      <c r="AE28"/>
      <c r="AF28"/>
      <c r="AG28"/>
      <c r="CA28"/>
      <c r="CB28"/>
      <c r="CC28"/>
      <c r="CD28"/>
      <c r="CE28"/>
      <c r="CF28"/>
      <c r="CG28"/>
      <c r="CH28" s="42"/>
      <c r="CI28" s="42"/>
      <c r="CJ28" s="42"/>
      <c r="CK28" s="42"/>
      <c r="CL28" s="42"/>
      <c r="DA28"/>
      <c r="DB28"/>
      <c r="DC28"/>
      <c r="DD28"/>
      <c r="DE28"/>
      <c r="DF28"/>
      <c r="DG28"/>
      <c r="DH28" s="42"/>
      <c r="DI28" s="42"/>
      <c r="DJ28" s="42"/>
      <c r="DK28" s="42"/>
      <c r="DL28" s="42"/>
      <c r="EA28"/>
      <c r="EB28"/>
      <c r="EC28"/>
      <c r="ED28"/>
      <c r="EE28"/>
      <c r="EF28"/>
      <c r="EG28"/>
      <c r="EH28"/>
      <c r="EI28" s="42"/>
      <c r="EJ28" s="42"/>
      <c r="EK28" s="42"/>
      <c r="EL28" s="42"/>
      <c r="EM28" s="42"/>
    </row>
    <row r="29" spans="27:143" x14ac:dyDescent="0.3">
      <c r="AA29"/>
      <c r="AB29"/>
      <c r="AC29"/>
      <c r="AD29"/>
      <c r="AE29"/>
      <c r="AF29"/>
      <c r="AG29"/>
      <c r="CA29"/>
      <c r="CB29"/>
      <c r="CC29"/>
      <c r="CD29"/>
      <c r="CE29"/>
      <c r="CF29"/>
      <c r="CG29"/>
      <c r="CH29" s="42"/>
      <c r="CI29" s="42"/>
      <c r="CJ29" s="42"/>
      <c r="CK29" s="42"/>
      <c r="CL29" s="42"/>
      <c r="DA29"/>
      <c r="DB29"/>
      <c r="DC29"/>
      <c r="DD29"/>
      <c r="DE29"/>
      <c r="DF29"/>
      <c r="DG29"/>
      <c r="DH29" s="42"/>
      <c r="DI29" s="42"/>
      <c r="DJ29" s="42"/>
      <c r="DK29" s="42"/>
      <c r="DL29" s="42"/>
      <c r="EA29"/>
      <c r="EB29"/>
      <c r="EC29"/>
      <c r="ED29"/>
      <c r="EE29"/>
      <c r="EF29"/>
      <c r="EG29"/>
      <c r="EH29"/>
      <c r="EI29" s="42"/>
      <c r="EJ29" s="42"/>
      <c r="EK29" s="42"/>
      <c r="EL29" s="42"/>
      <c r="EM29" s="42"/>
    </row>
    <row r="30" spans="27:143" x14ac:dyDescent="0.3">
      <c r="AA30"/>
      <c r="AB30"/>
      <c r="AC30"/>
      <c r="AD30"/>
      <c r="AE30"/>
      <c r="AF30"/>
      <c r="AG30"/>
      <c r="CA30"/>
      <c r="CB30"/>
      <c r="CC30"/>
      <c r="CD30"/>
      <c r="CE30"/>
      <c r="CF30"/>
      <c r="CG30"/>
      <c r="CH30" s="42"/>
      <c r="CI30" s="42"/>
      <c r="CJ30" s="42"/>
      <c r="CK30" s="42"/>
      <c r="CL30" s="42"/>
      <c r="DA30"/>
      <c r="DB30"/>
      <c r="DC30"/>
      <c r="DD30"/>
      <c r="DE30"/>
      <c r="DF30"/>
      <c r="DG30"/>
      <c r="DH30" s="42"/>
      <c r="DI30" s="42"/>
      <c r="DJ30" s="42"/>
      <c r="DK30" s="42"/>
      <c r="DL30" s="42"/>
      <c r="EA30"/>
      <c r="EB30"/>
      <c r="EC30"/>
      <c r="ED30"/>
      <c r="EE30"/>
      <c r="EF30"/>
      <c r="EG30"/>
      <c r="EH30"/>
      <c r="EI30" s="42"/>
      <c r="EJ30" s="42"/>
      <c r="EK30" s="42"/>
      <c r="EL30" s="42"/>
      <c r="EM30" s="42"/>
    </row>
    <row r="31" spans="27:143" x14ac:dyDescent="0.3">
      <c r="DA31"/>
      <c r="DB31"/>
      <c r="DC31"/>
      <c r="DD31"/>
      <c r="DE31"/>
      <c r="DF31"/>
      <c r="DG31"/>
      <c r="DH31" s="42"/>
      <c r="DI31" s="42"/>
      <c r="DJ31" s="42"/>
      <c r="DK31" s="42"/>
      <c r="DL31" s="42"/>
      <c r="EA31"/>
      <c r="EB31"/>
      <c r="EC31"/>
      <c r="ED31"/>
      <c r="EE31"/>
      <c r="EF31"/>
      <c r="EG31"/>
      <c r="EH31"/>
      <c r="EI31" s="42"/>
      <c r="EJ31" s="42"/>
      <c r="EK31" s="42"/>
      <c r="EL31" s="42"/>
      <c r="EM31" s="42"/>
    </row>
    <row r="32" spans="27:143" x14ac:dyDescent="0.3">
      <c r="DA32"/>
      <c r="DB32"/>
      <c r="DC32"/>
      <c r="DD32"/>
      <c r="DE32"/>
      <c r="DF32"/>
      <c r="DG32"/>
      <c r="DH32" s="42"/>
      <c r="DI32" s="42"/>
      <c r="DJ32" s="42"/>
      <c r="DK32" s="42"/>
      <c r="DL32" s="42"/>
      <c r="EA32"/>
      <c r="EB32"/>
      <c r="EC32"/>
      <c r="ED32"/>
      <c r="EE32"/>
      <c r="EF32"/>
      <c r="EG32"/>
      <c r="EH32"/>
      <c r="EI32" s="42"/>
      <c r="EJ32" s="42"/>
      <c r="EK32" s="42"/>
      <c r="EL32" s="42"/>
      <c r="EM32" s="42"/>
    </row>
    <row r="33" spans="105:143" x14ac:dyDescent="0.3">
      <c r="DA33"/>
      <c r="DB33"/>
      <c r="DC33"/>
      <c r="DD33"/>
      <c r="DE33"/>
      <c r="DF33"/>
      <c r="DG33"/>
      <c r="DH33" s="42"/>
      <c r="DI33" s="42"/>
      <c r="DJ33" s="42"/>
      <c r="DK33" s="42"/>
      <c r="DL33" s="42"/>
      <c r="EA33"/>
      <c r="EB33"/>
      <c r="EC33"/>
      <c r="ED33"/>
      <c r="EE33"/>
      <c r="EF33"/>
      <c r="EG33"/>
      <c r="EH33"/>
      <c r="EI33" s="42"/>
      <c r="EJ33" s="42"/>
      <c r="EK33" s="42"/>
      <c r="EL33" s="42"/>
      <c r="EM33" s="42"/>
    </row>
    <row r="34" spans="105:143" x14ac:dyDescent="0.3">
      <c r="DA34"/>
      <c r="DB34"/>
      <c r="DC34"/>
      <c r="DD34"/>
      <c r="DE34"/>
      <c r="DF34"/>
      <c r="DG34"/>
      <c r="DH34" s="42"/>
      <c r="DI34" s="42"/>
      <c r="DJ34" s="42"/>
      <c r="DK34" s="42"/>
      <c r="DL34" s="42"/>
      <c r="EA34"/>
      <c r="EB34"/>
      <c r="EC34"/>
      <c r="ED34"/>
      <c r="EE34"/>
      <c r="EF34"/>
      <c r="EG34"/>
      <c r="EH34"/>
      <c r="EI34" s="42"/>
      <c r="EJ34" s="42"/>
      <c r="EK34" s="42"/>
      <c r="EL34" s="42"/>
      <c r="EM34" s="42"/>
    </row>
    <row r="35" spans="105:143" x14ac:dyDescent="0.3">
      <c r="DA35"/>
      <c r="DB35"/>
      <c r="DC35"/>
      <c r="DD35"/>
      <c r="DE35"/>
      <c r="DF35"/>
      <c r="DG35"/>
      <c r="DH35" s="42"/>
      <c r="DI35" s="42"/>
      <c r="DJ35" s="42"/>
      <c r="DK35" s="42"/>
      <c r="DL35" s="42"/>
      <c r="EA35"/>
      <c r="EB35"/>
      <c r="EC35"/>
      <c r="ED35"/>
      <c r="EE35"/>
      <c r="EF35"/>
      <c r="EG35"/>
      <c r="EH35"/>
      <c r="EI35" s="42"/>
      <c r="EJ35" s="42"/>
      <c r="EK35" s="42"/>
      <c r="EL35" s="42"/>
      <c r="EM35" s="42"/>
    </row>
    <row r="36" spans="105:143" x14ac:dyDescent="0.3">
      <c r="DA36"/>
      <c r="DB36"/>
      <c r="DC36"/>
      <c r="DD36"/>
      <c r="DE36"/>
      <c r="DF36"/>
      <c r="DG36"/>
      <c r="DH36" s="42"/>
      <c r="DI36" s="42"/>
      <c r="DJ36" s="42"/>
      <c r="DK36" s="42"/>
      <c r="DL36" s="42"/>
      <c r="EA36"/>
      <c r="EB36"/>
      <c r="EC36"/>
      <c r="ED36"/>
      <c r="EE36"/>
      <c r="EF36"/>
      <c r="EG36"/>
      <c r="EH36"/>
      <c r="EI36" s="42"/>
      <c r="EJ36" s="42"/>
      <c r="EK36" s="42"/>
      <c r="EL36" s="42"/>
      <c r="EM36" s="42"/>
    </row>
    <row r="37" spans="105:143" x14ac:dyDescent="0.3">
      <c r="DA37"/>
      <c r="DB37"/>
      <c r="DC37"/>
      <c r="DD37"/>
      <c r="DE37"/>
      <c r="DF37"/>
      <c r="DG37"/>
      <c r="DH37" s="42"/>
      <c r="DI37" s="42"/>
      <c r="DJ37" s="42"/>
      <c r="DK37" s="42"/>
      <c r="DL37" s="42"/>
      <c r="EA37"/>
      <c r="EB37"/>
      <c r="EC37"/>
      <c r="ED37"/>
      <c r="EE37"/>
      <c r="EF37"/>
      <c r="EG37"/>
      <c r="EH37"/>
      <c r="EI37" s="42"/>
      <c r="EJ37" s="42"/>
      <c r="EK37" s="42"/>
      <c r="EL37" s="42"/>
      <c r="EM37" s="42"/>
    </row>
    <row r="38" spans="105:143" x14ac:dyDescent="0.3">
      <c r="DA38"/>
      <c r="DB38"/>
      <c r="DC38"/>
      <c r="DD38"/>
      <c r="DE38"/>
      <c r="DF38"/>
      <c r="DG38"/>
      <c r="DH38" s="42"/>
      <c r="DI38" s="42"/>
      <c r="DJ38" s="42"/>
      <c r="DK38" s="42"/>
      <c r="DL38" s="42"/>
      <c r="EA38"/>
      <c r="EB38"/>
      <c r="EC38"/>
      <c r="ED38"/>
      <c r="EE38"/>
      <c r="EF38"/>
      <c r="EG38"/>
      <c r="EH38"/>
      <c r="EI38" s="42"/>
      <c r="EJ38" s="42"/>
      <c r="EK38" s="42"/>
      <c r="EL38" s="42"/>
      <c r="EM38" s="42"/>
    </row>
    <row r="39" spans="105:143" x14ac:dyDescent="0.3">
      <c r="DA39"/>
      <c r="DB39"/>
      <c r="DC39"/>
      <c r="DD39"/>
      <c r="DE39"/>
      <c r="DF39"/>
      <c r="DG39"/>
      <c r="DH39" s="42"/>
      <c r="DI39" s="42"/>
      <c r="DJ39" s="42"/>
      <c r="DK39" s="42"/>
      <c r="DL39" s="42"/>
      <c r="EA39"/>
      <c r="EB39"/>
      <c r="EC39"/>
      <c r="ED39"/>
      <c r="EE39"/>
      <c r="EF39"/>
      <c r="EG39"/>
      <c r="EH39"/>
      <c r="EI39" s="42"/>
      <c r="EJ39" s="42"/>
      <c r="EK39" s="42"/>
      <c r="EL39" s="42"/>
      <c r="EM39" s="42"/>
    </row>
    <row r="40" spans="105:143" x14ac:dyDescent="0.3">
      <c r="DA40"/>
      <c r="DB40"/>
      <c r="DC40"/>
      <c r="DD40"/>
      <c r="DE40"/>
      <c r="DF40"/>
      <c r="DG40"/>
      <c r="DH40" s="42"/>
      <c r="DI40" s="42"/>
      <c r="DJ40" s="42"/>
      <c r="DK40" s="42"/>
      <c r="DL40" s="42"/>
      <c r="EA40"/>
      <c r="EB40"/>
      <c r="EC40"/>
      <c r="ED40"/>
      <c r="EE40"/>
      <c r="EF40"/>
      <c r="EG40"/>
      <c r="EH40"/>
      <c r="EI40" s="42"/>
      <c r="EJ40" s="42"/>
      <c r="EK40" s="42"/>
      <c r="EL40" s="42"/>
      <c r="EM40" s="42"/>
    </row>
    <row r="41" spans="105:143" x14ac:dyDescent="0.3">
      <c r="DA41"/>
      <c r="DB41"/>
      <c r="DC41"/>
      <c r="DD41"/>
      <c r="DE41"/>
      <c r="DF41"/>
      <c r="DG41"/>
      <c r="DH41" s="42"/>
      <c r="DI41" s="42"/>
      <c r="DJ41" s="42"/>
      <c r="DK41" s="42"/>
      <c r="DL41" s="42"/>
      <c r="EA41"/>
      <c r="EB41"/>
      <c r="EC41"/>
      <c r="ED41"/>
      <c r="EE41"/>
      <c r="EF41"/>
      <c r="EG41"/>
      <c r="EH41"/>
      <c r="EI41" s="42"/>
      <c r="EJ41" s="42"/>
      <c r="EK41" s="42"/>
      <c r="EL41" s="42"/>
      <c r="EM41" s="42"/>
    </row>
    <row r="42" spans="105:143" x14ac:dyDescent="0.3">
      <c r="DA42"/>
      <c r="DB42"/>
      <c r="DC42"/>
      <c r="DD42"/>
      <c r="DE42"/>
      <c r="DF42"/>
      <c r="DG42"/>
      <c r="DH42" s="42"/>
      <c r="DI42" s="42"/>
      <c r="DJ42" s="42"/>
      <c r="DK42" s="42"/>
      <c r="DL42" s="42"/>
      <c r="EA42"/>
      <c r="EB42"/>
      <c r="EC42"/>
      <c r="ED42"/>
      <c r="EE42"/>
      <c r="EF42"/>
      <c r="EG42"/>
      <c r="EH42"/>
      <c r="EI42" s="42"/>
      <c r="EJ42" s="42"/>
      <c r="EK42" s="42"/>
      <c r="EL42" s="42"/>
      <c r="EM42" s="42"/>
    </row>
    <row r="43" spans="105:143" x14ac:dyDescent="0.3">
      <c r="DA43"/>
      <c r="DB43"/>
      <c r="DC43"/>
      <c r="DD43"/>
      <c r="DE43"/>
      <c r="DF43"/>
      <c r="DG43"/>
      <c r="DH43" s="42"/>
      <c r="DI43" s="42"/>
      <c r="DJ43" s="42"/>
      <c r="DK43" s="42"/>
      <c r="DL43" s="42"/>
      <c r="EA43"/>
      <c r="EB43"/>
      <c r="EC43"/>
      <c r="ED43"/>
      <c r="EE43"/>
      <c r="EF43"/>
      <c r="EG43"/>
      <c r="EH43"/>
      <c r="EI43" s="42"/>
      <c r="EJ43" s="42"/>
      <c r="EK43" s="42"/>
      <c r="EL43" s="42"/>
      <c r="EM43" s="42"/>
    </row>
    <row r="44" spans="105:143" x14ac:dyDescent="0.3">
      <c r="DA44"/>
      <c r="DB44"/>
      <c r="DC44"/>
      <c r="DD44"/>
      <c r="DE44"/>
      <c r="DF44"/>
      <c r="DG44"/>
      <c r="DH44" s="42"/>
      <c r="DI44" s="42"/>
      <c r="DJ44" s="42"/>
      <c r="DK44" s="42"/>
      <c r="DL44" s="42"/>
      <c r="EA44"/>
      <c r="EB44"/>
      <c r="EC44"/>
      <c r="ED44"/>
      <c r="EE44"/>
      <c r="EF44"/>
      <c r="EG44"/>
      <c r="EH44"/>
      <c r="EI44" s="42"/>
      <c r="EJ44" s="42"/>
      <c r="EK44" s="42"/>
      <c r="EL44" s="42"/>
      <c r="EM44" s="42"/>
    </row>
    <row r="45" spans="105:143" x14ac:dyDescent="0.3">
      <c r="DA45"/>
      <c r="DB45"/>
      <c r="DC45"/>
      <c r="DD45"/>
      <c r="DE45"/>
      <c r="DF45"/>
      <c r="DG45"/>
      <c r="DH45" s="42"/>
      <c r="DI45" s="42"/>
      <c r="DJ45" s="42"/>
      <c r="DK45" s="42"/>
      <c r="DL45" s="42"/>
      <c r="EA45"/>
      <c r="EB45"/>
      <c r="EC45"/>
      <c r="ED45"/>
      <c r="EE45"/>
      <c r="EF45"/>
      <c r="EG45"/>
      <c r="EH45"/>
      <c r="EI45" s="42"/>
      <c r="EJ45" s="42"/>
      <c r="EK45" s="42"/>
      <c r="EL45" s="42"/>
      <c r="EM45" s="42"/>
    </row>
    <row r="46" spans="105:143" x14ac:dyDescent="0.3">
      <c r="DA46"/>
      <c r="DB46"/>
      <c r="DC46"/>
      <c r="DD46"/>
      <c r="DE46"/>
      <c r="DF46"/>
      <c r="DG46"/>
      <c r="DH46" s="42"/>
      <c r="DI46" s="42"/>
      <c r="DJ46" s="42"/>
      <c r="DK46" s="42"/>
      <c r="DL46" s="42"/>
      <c r="EA46"/>
      <c r="EB46"/>
      <c r="EC46"/>
      <c r="ED46"/>
      <c r="EE46"/>
      <c r="EF46"/>
      <c r="EG46"/>
      <c r="EH46"/>
      <c r="EI46" s="42"/>
      <c r="EJ46" s="42"/>
      <c r="EK46" s="42"/>
      <c r="EL46" s="42"/>
      <c r="EM46" s="42"/>
    </row>
    <row r="47" spans="105:143" x14ac:dyDescent="0.3">
      <c r="DA47"/>
      <c r="DB47"/>
      <c r="DC47"/>
      <c r="DD47"/>
      <c r="DE47"/>
      <c r="DF47"/>
      <c r="DG47"/>
      <c r="DH47" s="42"/>
      <c r="DI47" s="42"/>
      <c r="DJ47" s="42"/>
      <c r="DK47" s="42"/>
      <c r="DL47" s="42"/>
      <c r="EA47"/>
      <c r="EB47"/>
      <c r="EC47"/>
      <c r="ED47"/>
      <c r="EE47"/>
      <c r="EF47"/>
      <c r="EG47"/>
      <c r="EH47"/>
      <c r="EI47" s="42"/>
      <c r="EJ47" s="42"/>
      <c r="EK47" s="42"/>
      <c r="EL47" s="42"/>
      <c r="EM47" s="42"/>
    </row>
    <row r="48" spans="105:143" x14ac:dyDescent="0.3">
      <c r="DA48"/>
      <c r="DB48"/>
      <c r="DC48"/>
      <c r="DD48"/>
      <c r="DE48"/>
      <c r="DF48"/>
      <c r="DG48"/>
      <c r="DH48" s="42"/>
      <c r="DI48" s="42"/>
      <c r="DJ48" s="42"/>
      <c r="DK48" s="42"/>
      <c r="DL48" s="42"/>
      <c r="EA48"/>
      <c r="EB48"/>
      <c r="EC48"/>
      <c r="ED48"/>
      <c r="EE48"/>
      <c r="EF48"/>
      <c r="EG48"/>
      <c r="EH48"/>
      <c r="EI48" s="42"/>
      <c r="EJ48" s="42"/>
      <c r="EK48" s="42"/>
      <c r="EL48" s="42"/>
      <c r="EM48" s="42"/>
    </row>
    <row r="49" spans="105:143" x14ac:dyDescent="0.3">
      <c r="DA49"/>
      <c r="DB49"/>
      <c r="DC49"/>
      <c r="DD49"/>
      <c r="DE49"/>
      <c r="DF49"/>
      <c r="DG49"/>
      <c r="DH49" s="42"/>
      <c r="DI49" s="42"/>
      <c r="DJ49" s="42"/>
      <c r="DK49" s="42"/>
      <c r="DL49" s="42"/>
      <c r="EA49"/>
      <c r="EB49"/>
      <c r="EC49"/>
      <c r="ED49"/>
      <c r="EE49"/>
      <c r="EF49"/>
      <c r="EG49"/>
      <c r="EH49"/>
      <c r="EI49" s="42"/>
      <c r="EJ49" s="42"/>
      <c r="EK49" s="42"/>
      <c r="EL49" s="42"/>
      <c r="EM49" s="42"/>
    </row>
    <row r="50" spans="105:143" x14ac:dyDescent="0.3">
      <c r="DA50"/>
      <c r="DB50"/>
      <c r="DC50"/>
      <c r="DD50"/>
      <c r="DE50"/>
      <c r="DF50"/>
      <c r="DG50"/>
      <c r="DH50" s="42"/>
      <c r="DI50" s="42"/>
      <c r="DJ50" s="42"/>
      <c r="DK50" s="42"/>
      <c r="DL50" s="42"/>
      <c r="EA50"/>
      <c r="EB50"/>
      <c r="EC50"/>
      <c r="ED50"/>
      <c r="EE50"/>
      <c r="EF50"/>
      <c r="EG50"/>
      <c r="EH50"/>
      <c r="EI50" s="42"/>
      <c r="EJ50" s="42"/>
      <c r="EK50" s="42"/>
      <c r="EL50" s="42"/>
      <c r="EM50" s="42"/>
    </row>
    <row r="51" spans="105:143" x14ac:dyDescent="0.3">
      <c r="DA51"/>
      <c r="DB51"/>
      <c r="DC51"/>
      <c r="DD51"/>
      <c r="DE51"/>
      <c r="DF51"/>
      <c r="DG51"/>
      <c r="DH51" s="42"/>
      <c r="DI51" s="42"/>
      <c r="DJ51" s="42"/>
      <c r="DK51" s="42"/>
      <c r="DL51" s="42"/>
      <c r="EA51"/>
      <c r="EB51"/>
      <c r="EC51"/>
      <c r="ED51"/>
      <c r="EE51"/>
      <c r="EF51"/>
      <c r="EG51"/>
      <c r="EH51"/>
      <c r="EI51" s="42"/>
      <c r="EJ51" s="42"/>
      <c r="EK51" s="42"/>
      <c r="EL51" s="42"/>
      <c r="EM51" s="42"/>
    </row>
    <row r="52" spans="105:143" x14ac:dyDescent="0.3">
      <c r="DA52"/>
      <c r="DB52"/>
      <c r="DC52"/>
      <c r="DD52"/>
      <c r="DE52"/>
      <c r="DF52"/>
      <c r="DG52"/>
      <c r="DH52" s="42"/>
      <c r="DI52" s="42"/>
      <c r="DJ52" s="42"/>
      <c r="DK52" s="42"/>
      <c r="DL52" s="42"/>
      <c r="EA52"/>
      <c r="EB52"/>
      <c r="EC52"/>
      <c r="ED52"/>
      <c r="EE52"/>
      <c r="EF52"/>
      <c r="EG52"/>
      <c r="EH52"/>
      <c r="EI52" s="42"/>
      <c r="EJ52" s="42"/>
      <c r="EK52" s="42"/>
      <c r="EL52" s="42"/>
      <c r="EM52" s="42"/>
    </row>
    <row r="53" spans="105:143" x14ac:dyDescent="0.3">
      <c r="DA53"/>
      <c r="DB53"/>
      <c r="DC53"/>
      <c r="DD53"/>
      <c r="DE53"/>
      <c r="DF53"/>
      <c r="DG53"/>
      <c r="DH53" s="42"/>
      <c r="DI53" s="42"/>
      <c r="DJ53" s="42"/>
      <c r="DK53" s="42"/>
      <c r="DL53" s="42"/>
      <c r="EA53"/>
      <c r="EB53"/>
      <c r="EC53"/>
      <c r="ED53"/>
      <c r="EE53"/>
      <c r="EF53"/>
      <c r="EG53"/>
      <c r="EH53"/>
      <c r="EI53" s="42"/>
      <c r="EJ53" s="42"/>
      <c r="EK53" s="42"/>
      <c r="EL53" s="42"/>
      <c r="EM53" s="42"/>
    </row>
    <row r="54" spans="105:143" x14ac:dyDescent="0.3">
      <c r="DA54"/>
      <c r="DB54"/>
      <c r="DC54"/>
      <c r="DD54"/>
      <c r="DE54"/>
      <c r="DF54"/>
      <c r="DG54"/>
      <c r="DH54" s="42"/>
      <c r="DI54" s="42"/>
      <c r="DJ54" s="42"/>
      <c r="DK54" s="42"/>
      <c r="DL54" s="42"/>
      <c r="EA54"/>
      <c r="EB54"/>
      <c r="EC54"/>
      <c r="ED54"/>
      <c r="EE54"/>
      <c r="EF54"/>
      <c r="EG54"/>
      <c r="EH54"/>
      <c r="EI54" s="42"/>
      <c r="EJ54" s="42"/>
      <c r="EK54" s="42"/>
      <c r="EL54" s="42"/>
      <c r="EM54" s="42"/>
    </row>
    <row r="55" spans="105:143" x14ac:dyDescent="0.3">
      <c r="DA55"/>
      <c r="DB55"/>
      <c r="DC55"/>
      <c r="DD55"/>
      <c r="DE55"/>
      <c r="DF55"/>
      <c r="DG55"/>
      <c r="DH55" s="42"/>
      <c r="DI55" s="42"/>
      <c r="DJ55" s="42"/>
      <c r="DK55" s="42"/>
      <c r="DL55" s="42"/>
      <c r="EA55"/>
      <c r="EB55"/>
      <c r="EC55"/>
      <c r="ED55"/>
      <c r="EE55"/>
      <c r="EF55"/>
      <c r="EG55"/>
      <c r="EH55"/>
      <c r="EI55" s="42"/>
      <c r="EJ55" s="42"/>
      <c r="EK55" s="42"/>
      <c r="EL55" s="42"/>
      <c r="EM55" s="42"/>
    </row>
    <row r="56" spans="105:143" x14ac:dyDescent="0.3">
      <c r="DA56"/>
      <c r="DB56"/>
      <c r="DC56"/>
      <c r="DD56"/>
      <c r="DE56"/>
      <c r="DF56"/>
      <c r="DG56"/>
      <c r="DH56" s="42"/>
      <c r="DI56" s="42"/>
      <c r="DJ56" s="42"/>
      <c r="DK56" s="42"/>
      <c r="DL56" s="42"/>
      <c r="EA56"/>
      <c r="EB56"/>
      <c r="EC56"/>
      <c r="ED56"/>
      <c r="EE56"/>
      <c r="EF56"/>
      <c r="EG56"/>
      <c r="EH56"/>
      <c r="EI56" s="42"/>
      <c r="EJ56" s="42"/>
      <c r="EK56" s="42"/>
      <c r="EL56" s="42"/>
      <c r="EM56" s="42"/>
    </row>
    <row r="57" spans="105:143" x14ac:dyDescent="0.3">
      <c r="DA57"/>
      <c r="DB57"/>
      <c r="DC57"/>
      <c r="DD57"/>
      <c r="DE57"/>
      <c r="DF57"/>
      <c r="DG57"/>
      <c r="DH57" s="42"/>
      <c r="DI57" s="42"/>
      <c r="DJ57" s="42"/>
      <c r="DK57" s="42"/>
      <c r="DL57" s="42"/>
      <c r="EA57"/>
      <c r="EB57"/>
      <c r="EC57"/>
      <c r="ED57"/>
      <c r="EE57"/>
      <c r="EF57"/>
      <c r="EG57"/>
      <c r="EH57"/>
      <c r="EI57" s="42"/>
      <c r="EJ57" s="42"/>
      <c r="EK57" s="42"/>
      <c r="EL57" s="42"/>
      <c r="EM57" s="42"/>
    </row>
    <row r="58" spans="105:143" x14ac:dyDescent="0.3">
      <c r="DA58"/>
      <c r="DB58"/>
      <c r="DC58"/>
      <c r="DD58"/>
      <c r="DE58"/>
      <c r="DF58"/>
      <c r="DG58"/>
      <c r="DH58" s="42"/>
      <c r="DI58" s="42"/>
      <c r="DJ58" s="42"/>
      <c r="DK58" s="42"/>
      <c r="DL58" s="42"/>
      <c r="EA58"/>
      <c r="EB58"/>
      <c r="EC58"/>
      <c r="ED58"/>
      <c r="EE58"/>
      <c r="EF58"/>
      <c r="EG58"/>
      <c r="EH58"/>
      <c r="EI58" s="42"/>
      <c r="EJ58" s="42"/>
      <c r="EK58" s="42"/>
      <c r="EL58" s="42"/>
      <c r="EM58" s="42"/>
    </row>
    <row r="59" spans="105:143" x14ac:dyDescent="0.3">
      <c r="DA59"/>
      <c r="DB59"/>
      <c r="DC59"/>
      <c r="DD59"/>
      <c r="DE59"/>
      <c r="DF59"/>
      <c r="DG59"/>
      <c r="DH59" s="42"/>
      <c r="DI59" s="42"/>
      <c r="DJ59" s="42"/>
      <c r="DK59" s="42"/>
      <c r="DL59" s="42"/>
      <c r="EA59"/>
      <c r="EB59"/>
      <c r="EC59"/>
      <c r="ED59"/>
      <c r="EE59"/>
      <c r="EF59"/>
      <c r="EG59"/>
      <c r="EH59"/>
      <c r="EI59" s="42"/>
      <c r="EJ59" s="42"/>
      <c r="EK59" s="42"/>
      <c r="EL59" s="42"/>
      <c r="EM59" s="42"/>
    </row>
    <row r="60" spans="105:143" x14ac:dyDescent="0.3">
      <c r="DA60"/>
      <c r="DB60"/>
      <c r="DC60"/>
      <c r="DD60"/>
      <c r="DE60"/>
      <c r="DF60"/>
      <c r="DG60"/>
      <c r="DH60" s="42"/>
      <c r="DI60" s="42"/>
      <c r="DJ60" s="42"/>
      <c r="DK60" s="42"/>
      <c r="DL60" s="42"/>
      <c r="EA60"/>
      <c r="EB60"/>
      <c r="EC60"/>
      <c r="ED60"/>
      <c r="EE60"/>
      <c r="EF60"/>
      <c r="EG60"/>
      <c r="EH60"/>
      <c r="EI60" s="42"/>
      <c r="EJ60" s="42"/>
      <c r="EK60" s="42"/>
      <c r="EL60" s="42"/>
      <c r="EM60" s="42"/>
    </row>
    <row r="61" spans="105:143" x14ac:dyDescent="0.3">
      <c r="DA61"/>
      <c r="DB61"/>
      <c r="DC61"/>
      <c r="DD61"/>
      <c r="DE61"/>
      <c r="DF61"/>
      <c r="DG61"/>
      <c r="DH61" s="42"/>
      <c r="DI61" s="42"/>
      <c r="DJ61" s="42"/>
      <c r="DK61" s="42"/>
      <c r="DL61" s="42"/>
      <c r="EA61"/>
      <c r="EB61"/>
      <c r="EC61"/>
      <c r="ED61"/>
      <c r="EE61"/>
      <c r="EF61"/>
      <c r="EG61"/>
      <c r="EH61"/>
      <c r="EI61" s="42"/>
      <c r="EJ61" s="42"/>
      <c r="EK61" s="42"/>
      <c r="EL61" s="42"/>
      <c r="EM61" s="42"/>
    </row>
    <row r="62" spans="105:143" x14ac:dyDescent="0.3">
      <c r="DA62"/>
      <c r="DB62"/>
      <c r="DC62"/>
      <c r="DD62"/>
      <c r="DE62"/>
      <c r="DF62"/>
      <c r="DG62"/>
      <c r="DH62" s="42"/>
      <c r="DI62" s="42"/>
      <c r="DJ62" s="42"/>
      <c r="DK62" s="42"/>
      <c r="DL62" s="42"/>
      <c r="EA62"/>
      <c r="EB62"/>
      <c r="EC62"/>
      <c r="ED62"/>
      <c r="EE62"/>
      <c r="EF62"/>
      <c r="EG62"/>
      <c r="EH62"/>
      <c r="EI62" s="42"/>
      <c r="EJ62" s="42"/>
      <c r="EK62" s="42"/>
      <c r="EL62" s="42"/>
      <c r="EM62" s="42"/>
    </row>
    <row r="63" spans="105:143" x14ac:dyDescent="0.3">
      <c r="DA63"/>
      <c r="DB63"/>
      <c r="DC63"/>
      <c r="DD63"/>
      <c r="DE63"/>
      <c r="DF63"/>
      <c r="DG63"/>
      <c r="DH63" s="42"/>
      <c r="DI63" s="42"/>
      <c r="DJ63" s="42"/>
      <c r="DK63" s="42"/>
      <c r="DL63" s="42"/>
      <c r="EA63"/>
      <c r="EB63"/>
      <c r="EC63"/>
      <c r="ED63"/>
      <c r="EE63"/>
      <c r="EF63"/>
      <c r="EG63"/>
      <c r="EH63"/>
      <c r="EI63" s="42"/>
      <c r="EJ63" s="42"/>
      <c r="EK63" s="42"/>
      <c r="EL63" s="42"/>
      <c r="EM63" s="42"/>
    </row>
    <row r="64" spans="105:143" x14ac:dyDescent="0.3">
      <c r="DA64"/>
      <c r="DB64"/>
      <c r="DC64"/>
      <c r="DD64"/>
      <c r="DE64"/>
      <c r="DF64"/>
      <c r="DG64"/>
      <c r="DH64" s="42"/>
      <c r="DI64" s="42"/>
      <c r="DJ64" s="42"/>
      <c r="DK64" s="42"/>
      <c r="DL64" s="42"/>
      <c r="EA64"/>
      <c r="EB64"/>
      <c r="EC64"/>
      <c r="ED64"/>
      <c r="EE64"/>
      <c r="EF64"/>
      <c r="EG64"/>
      <c r="EH64"/>
      <c r="EI64" s="42"/>
      <c r="EJ64" s="42"/>
      <c r="EK64" s="42"/>
      <c r="EL64" s="42"/>
      <c r="EM64" s="42"/>
    </row>
    <row r="65" spans="105:143" x14ac:dyDescent="0.3">
      <c r="DA65"/>
      <c r="DB65"/>
      <c r="DC65"/>
      <c r="DD65"/>
      <c r="DE65"/>
      <c r="DF65"/>
      <c r="DG65"/>
      <c r="DH65" s="42"/>
      <c r="DI65" s="42"/>
      <c r="DJ65" s="42"/>
      <c r="DK65" s="42"/>
      <c r="DL65" s="42"/>
      <c r="EA65"/>
      <c r="EB65"/>
      <c r="EC65"/>
      <c r="ED65"/>
      <c r="EE65"/>
      <c r="EF65"/>
      <c r="EG65"/>
      <c r="EH65"/>
      <c r="EI65" s="42"/>
      <c r="EJ65" s="42"/>
      <c r="EK65" s="42"/>
      <c r="EL65" s="42"/>
      <c r="EM65" s="42"/>
    </row>
    <row r="66" spans="105:143" x14ac:dyDescent="0.3">
      <c r="DA66"/>
      <c r="DB66"/>
      <c r="DC66"/>
      <c r="DD66"/>
      <c r="DE66"/>
      <c r="DF66"/>
      <c r="DG66"/>
      <c r="DH66" s="42"/>
      <c r="DI66" s="42"/>
      <c r="DJ66" s="42"/>
      <c r="DK66" s="42"/>
      <c r="DL66" s="42"/>
      <c r="EA66"/>
      <c r="EB66"/>
      <c r="EC66"/>
      <c r="ED66"/>
      <c r="EE66"/>
      <c r="EF66"/>
      <c r="EG66"/>
      <c r="EH66"/>
      <c r="EI66" s="42"/>
      <c r="EJ66" s="42"/>
      <c r="EK66" s="42"/>
      <c r="EL66" s="42"/>
      <c r="EM66" s="42"/>
    </row>
    <row r="67" spans="105:143" x14ac:dyDescent="0.3">
      <c r="DA67"/>
      <c r="DB67"/>
      <c r="DC67"/>
      <c r="DD67"/>
      <c r="DE67"/>
      <c r="DF67"/>
      <c r="DG67"/>
      <c r="DH67" s="42"/>
      <c r="DI67" s="42"/>
      <c r="DJ67" s="42"/>
      <c r="DK67" s="42"/>
      <c r="DL67" s="42"/>
      <c r="EA67"/>
      <c r="EB67"/>
      <c r="EC67"/>
      <c r="ED67"/>
      <c r="EE67"/>
      <c r="EF67"/>
      <c r="EG67"/>
      <c r="EH67"/>
      <c r="EI67" s="42"/>
      <c r="EJ67" s="42"/>
      <c r="EK67" s="42"/>
      <c r="EL67" s="42"/>
      <c r="EM67" s="42"/>
    </row>
    <row r="68" spans="105:143" x14ac:dyDescent="0.3">
      <c r="DA68"/>
      <c r="DB68"/>
      <c r="DC68"/>
      <c r="DD68"/>
      <c r="DE68"/>
      <c r="DF68"/>
      <c r="DG68"/>
      <c r="DH68" s="42"/>
      <c r="DI68" s="42"/>
      <c r="DJ68" s="42"/>
      <c r="DK68" s="42"/>
      <c r="DL68" s="42"/>
      <c r="EA68"/>
      <c r="EB68"/>
      <c r="EC68"/>
      <c r="ED68"/>
      <c r="EE68"/>
      <c r="EF68"/>
      <c r="EG68"/>
      <c r="EH68"/>
      <c r="EI68" s="42"/>
      <c r="EJ68" s="42"/>
      <c r="EK68" s="42"/>
      <c r="EL68" s="42"/>
      <c r="EM68" s="42"/>
    </row>
    <row r="69" spans="105:143" x14ac:dyDescent="0.3">
      <c r="DA69"/>
      <c r="DB69"/>
      <c r="DC69"/>
      <c r="DD69"/>
      <c r="DE69"/>
      <c r="DF69"/>
      <c r="DG69"/>
      <c r="DH69" s="42"/>
      <c r="DI69" s="42"/>
      <c r="DJ69" s="42"/>
      <c r="DK69" s="42"/>
      <c r="DL69" s="42"/>
      <c r="EA69"/>
      <c r="EB69"/>
      <c r="EC69"/>
      <c r="ED69"/>
      <c r="EE69"/>
      <c r="EF69"/>
      <c r="EG69"/>
      <c r="EH69"/>
      <c r="EI69" s="42"/>
      <c r="EJ69" s="42"/>
      <c r="EK69" s="42"/>
      <c r="EL69" s="42"/>
      <c r="EM69" s="42"/>
    </row>
    <row r="70" spans="105:143" x14ac:dyDescent="0.3">
      <c r="DA70"/>
      <c r="DB70"/>
      <c r="DC70"/>
      <c r="DD70"/>
      <c r="DE70"/>
      <c r="DF70"/>
      <c r="DG70"/>
      <c r="DH70" s="42"/>
      <c r="DI70" s="42"/>
      <c r="DJ70" s="42"/>
      <c r="DK70" s="42"/>
      <c r="DL70" s="42"/>
      <c r="EA70"/>
      <c r="EB70"/>
      <c r="EC70"/>
      <c r="ED70"/>
      <c r="EE70"/>
      <c r="EF70"/>
      <c r="EG70"/>
      <c r="EH70"/>
      <c r="EI70" s="42"/>
      <c r="EJ70" s="42"/>
      <c r="EK70" s="42"/>
      <c r="EL70" s="42"/>
      <c r="EM70" s="42"/>
    </row>
    <row r="71" spans="105:143" x14ac:dyDescent="0.3">
      <c r="DA71"/>
      <c r="DB71"/>
      <c r="DC71"/>
      <c r="DD71"/>
      <c r="DE71"/>
      <c r="DF71"/>
      <c r="DG71"/>
      <c r="DH71" s="42"/>
      <c r="DI71" s="42"/>
      <c r="DJ71" s="42"/>
      <c r="DK71" s="42"/>
      <c r="DL71" s="42"/>
      <c r="EA71"/>
      <c r="EB71"/>
      <c r="EC71"/>
      <c r="ED71"/>
      <c r="EE71"/>
      <c r="EF71"/>
      <c r="EG71"/>
      <c r="EH71"/>
      <c r="EI71" s="42"/>
      <c r="EJ71" s="42"/>
      <c r="EK71" s="42"/>
      <c r="EL71" s="42"/>
      <c r="EM71" s="42"/>
    </row>
    <row r="72" spans="105:143" x14ac:dyDescent="0.3">
      <c r="DA72"/>
      <c r="DB72"/>
      <c r="DC72"/>
      <c r="DD72"/>
      <c r="DE72"/>
      <c r="DF72"/>
      <c r="DG72"/>
      <c r="DH72" s="42"/>
      <c r="DI72" s="42"/>
      <c r="DJ72" s="42"/>
      <c r="DK72" s="42"/>
      <c r="DL72" s="42"/>
      <c r="EA72"/>
      <c r="EB72"/>
      <c r="EC72"/>
      <c r="ED72"/>
      <c r="EE72"/>
      <c r="EF72"/>
      <c r="EG72"/>
      <c r="EH72"/>
      <c r="EI72" s="42"/>
      <c r="EJ72" s="42"/>
      <c r="EK72" s="42"/>
      <c r="EL72" s="42"/>
      <c r="EM72" s="42"/>
    </row>
    <row r="73" spans="105:143" x14ac:dyDescent="0.3">
      <c r="DA73"/>
      <c r="DB73"/>
      <c r="DC73"/>
      <c r="DD73"/>
      <c r="DE73"/>
      <c r="DF73"/>
      <c r="DG73"/>
      <c r="DH73" s="42"/>
      <c r="DI73" s="42"/>
      <c r="DJ73" s="42"/>
      <c r="DK73" s="42"/>
      <c r="DL73" s="42"/>
      <c r="EA73"/>
      <c r="EB73"/>
      <c r="EC73"/>
      <c r="ED73"/>
      <c r="EE73"/>
      <c r="EF73"/>
      <c r="EG73"/>
      <c r="EH73"/>
      <c r="EI73" s="42"/>
      <c r="EJ73" s="42"/>
      <c r="EK73" s="42"/>
      <c r="EL73" s="42"/>
      <c r="EM73" s="42"/>
    </row>
    <row r="74" spans="105:143" x14ac:dyDescent="0.3">
      <c r="DA74"/>
      <c r="DB74"/>
      <c r="DC74"/>
      <c r="DD74"/>
      <c r="DE74"/>
      <c r="DF74"/>
      <c r="DG74"/>
      <c r="DH74" s="42"/>
      <c r="DI74" s="42"/>
      <c r="DJ74" s="42"/>
      <c r="DK74" s="42"/>
      <c r="DL74" s="42"/>
      <c r="EA74"/>
      <c r="EB74"/>
      <c r="EC74"/>
      <c r="ED74"/>
      <c r="EE74"/>
      <c r="EF74"/>
      <c r="EG74"/>
      <c r="EH74"/>
      <c r="EI74" s="42"/>
      <c r="EJ74" s="42"/>
      <c r="EK74" s="42"/>
      <c r="EL74" s="42"/>
      <c r="EM74" s="42"/>
    </row>
    <row r="75" spans="105:143" x14ac:dyDescent="0.3">
      <c r="DA75"/>
      <c r="DB75"/>
      <c r="DC75"/>
      <c r="DD75"/>
      <c r="DE75"/>
      <c r="DF75"/>
      <c r="DG75"/>
      <c r="DH75" s="42"/>
      <c r="DI75" s="42"/>
      <c r="DJ75" s="42"/>
      <c r="DK75" s="42"/>
      <c r="DL75" s="42"/>
      <c r="EA75"/>
      <c r="EB75"/>
      <c r="EC75"/>
      <c r="ED75"/>
      <c r="EE75"/>
      <c r="EF75"/>
      <c r="EG75"/>
      <c r="EH75"/>
      <c r="EI75" s="42"/>
      <c r="EJ75" s="42"/>
      <c r="EK75" s="42"/>
      <c r="EL75" s="42"/>
      <c r="EM75" s="42"/>
    </row>
    <row r="76" spans="105:143" x14ac:dyDescent="0.3">
      <c r="DA76"/>
      <c r="DB76"/>
      <c r="DC76"/>
      <c r="DD76"/>
      <c r="DE76"/>
      <c r="DF76"/>
      <c r="DG76"/>
      <c r="DH76" s="42"/>
      <c r="DI76" s="42"/>
      <c r="DJ76" s="42"/>
      <c r="DK76" s="42"/>
      <c r="DL76" s="42"/>
      <c r="EA76"/>
      <c r="EB76"/>
      <c r="EC76"/>
      <c r="ED76"/>
      <c r="EE76"/>
      <c r="EF76"/>
      <c r="EG76"/>
      <c r="EH76"/>
      <c r="EI76" s="42"/>
      <c r="EJ76" s="42"/>
      <c r="EK76" s="42"/>
      <c r="EL76" s="42"/>
      <c r="EM76" s="42"/>
    </row>
    <row r="77" spans="105:143" x14ac:dyDescent="0.3">
      <c r="DA77"/>
      <c r="DB77"/>
      <c r="DC77"/>
      <c r="DD77"/>
      <c r="DE77"/>
      <c r="DF77"/>
      <c r="DG77"/>
      <c r="DH77" s="42"/>
      <c r="DI77" s="42"/>
      <c r="DJ77" s="42"/>
      <c r="DK77" s="42"/>
      <c r="DL77" s="42"/>
      <c r="EA77"/>
      <c r="EB77"/>
      <c r="EC77"/>
      <c r="ED77"/>
      <c r="EE77"/>
      <c r="EF77"/>
      <c r="EG77"/>
      <c r="EH77"/>
      <c r="EI77" s="42"/>
      <c r="EJ77" s="42"/>
      <c r="EK77" s="42"/>
      <c r="EL77" s="42"/>
      <c r="EM77" s="42"/>
    </row>
    <row r="78" spans="105:143" x14ac:dyDescent="0.3">
      <c r="DA78"/>
      <c r="DB78"/>
      <c r="DC78"/>
      <c r="DD78"/>
      <c r="DE78"/>
      <c r="DF78"/>
      <c r="DG78"/>
      <c r="DH78" s="42"/>
      <c r="DI78" s="42"/>
      <c r="DJ78" s="42"/>
      <c r="DK78" s="42"/>
      <c r="DL78" s="42"/>
      <c r="EA78"/>
      <c r="EB78"/>
      <c r="EC78"/>
      <c r="ED78"/>
      <c r="EE78"/>
      <c r="EF78"/>
      <c r="EG78"/>
      <c r="EH78"/>
      <c r="EI78" s="42"/>
      <c r="EJ78" s="42"/>
      <c r="EK78" s="42"/>
      <c r="EL78" s="42"/>
      <c r="EM78" s="42"/>
    </row>
    <row r="79" spans="105:143" x14ac:dyDescent="0.3">
      <c r="DA79"/>
      <c r="DB79"/>
      <c r="DC79"/>
      <c r="DD79"/>
      <c r="DE79"/>
      <c r="DF79"/>
      <c r="DG79"/>
      <c r="DH79" s="42"/>
      <c r="DI79" s="42"/>
      <c r="DJ79" s="42"/>
      <c r="DK79" s="42"/>
      <c r="DL79" s="42"/>
      <c r="EA79"/>
      <c r="EB79"/>
      <c r="EC79"/>
      <c r="ED79"/>
      <c r="EE79"/>
      <c r="EF79"/>
      <c r="EG79"/>
      <c r="EH79"/>
      <c r="EI79" s="42"/>
      <c r="EJ79" s="42"/>
      <c r="EK79" s="42"/>
      <c r="EL79" s="42"/>
      <c r="EM79" s="42"/>
    </row>
    <row r="80" spans="105:143" x14ac:dyDescent="0.3">
      <c r="DA80"/>
      <c r="DB80"/>
      <c r="DC80"/>
      <c r="DD80"/>
      <c r="DE80"/>
      <c r="DF80"/>
      <c r="DG80"/>
      <c r="DH80" s="42"/>
      <c r="DI80" s="42"/>
      <c r="DJ80" s="42"/>
      <c r="DK80" s="42"/>
      <c r="DL80" s="42"/>
      <c r="EA80"/>
      <c r="EB80"/>
      <c r="EC80"/>
      <c r="ED80"/>
      <c r="EE80"/>
      <c r="EF80"/>
      <c r="EG80"/>
      <c r="EH80"/>
      <c r="EI80" s="42"/>
      <c r="EJ80" s="42"/>
      <c r="EK80" s="42"/>
      <c r="EL80" s="42"/>
      <c r="EM80" s="42"/>
    </row>
    <row r="81" spans="105:143" x14ac:dyDescent="0.3">
      <c r="DA81"/>
      <c r="DB81"/>
      <c r="DC81"/>
      <c r="DD81"/>
      <c r="DE81"/>
      <c r="DF81"/>
      <c r="DG81"/>
      <c r="DH81" s="42"/>
      <c r="DI81" s="42"/>
      <c r="DJ81" s="42"/>
      <c r="DK81" s="42"/>
      <c r="DL81" s="42"/>
      <c r="EA81"/>
      <c r="EB81"/>
      <c r="EC81"/>
      <c r="ED81"/>
      <c r="EE81"/>
      <c r="EF81"/>
      <c r="EG81"/>
      <c r="EH81"/>
      <c r="EI81" s="42"/>
      <c r="EJ81" s="42"/>
      <c r="EK81" s="42"/>
      <c r="EL81" s="42"/>
      <c r="EM81" s="42"/>
    </row>
    <row r="82" spans="105:143" x14ac:dyDescent="0.3">
      <c r="DA82"/>
      <c r="DB82"/>
      <c r="DC82"/>
      <c r="DD82"/>
      <c r="DE82"/>
      <c r="DF82"/>
      <c r="DG82"/>
      <c r="DH82" s="42"/>
      <c r="DI82" s="42"/>
      <c r="DJ82" s="42"/>
      <c r="DK82" s="42"/>
      <c r="DL82" s="42"/>
      <c r="EA82"/>
      <c r="EB82"/>
      <c r="EC82"/>
      <c r="ED82"/>
      <c r="EE82"/>
      <c r="EF82"/>
      <c r="EG82"/>
      <c r="EH82"/>
      <c r="EI82" s="42"/>
      <c r="EJ82" s="42"/>
      <c r="EK82" s="42"/>
      <c r="EL82" s="42"/>
      <c r="EM82" s="42"/>
    </row>
    <row r="83" spans="105:143" x14ac:dyDescent="0.3">
      <c r="DA83"/>
      <c r="DB83"/>
      <c r="DC83"/>
      <c r="DD83"/>
      <c r="DE83"/>
      <c r="DF83"/>
      <c r="DG83"/>
      <c r="DH83" s="42"/>
      <c r="DI83" s="42"/>
      <c r="DJ83" s="42"/>
      <c r="DK83" s="42"/>
      <c r="DL83" s="42"/>
      <c r="EA83"/>
      <c r="EB83"/>
      <c r="EC83"/>
      <c r="ED83"/>
      <c r="EE83"/>
      <c r="EF83"/>
      <c r="EG83"/>
      <c r="EH83"/>
      <c r="EI83" s="42"/>
      <c r="EJ83" s="42"/>
      <c r="EK83" s="42"/>
      <c r="EL83" s="42"/>
      <c r="EM83" s="42"/>
    </row>
    <row r="84" spans="105:143" x14ac:dyDescent="0.3">
      <c r="DA84"/>
      <c r="DB84"/>
      <c r="DC84"/>
      <c r="DD84"/>
      <c r="DE84"/>
      <c r="DF84"/>
      <c r="DG84"/>
      <c r="DH84" s="42"/>
      <c r="DI84" s="42"/>
      <c r="DJ84" s="42"/>
      <c r="DK84" s="42"/>
      <c r="DL84" s="42"/>
      <c r="EA84"/>
      <c r="EB84"/>
      <c r="EC84"/>
      <c r="ED84"/>
      <c r="EE84"/>
      <c r="EF84"/>
      <c r="EG84"/>
      <c r="EH84"/>
      <c r="EI84" s="42"/>
      <c r="EJ84" s="42"/>
      <c r="EK84" s="42"/>
      <c r="EL84" s="42"/>
      <c r="EM84" s="42"/>
    </row>
    <row r="85" spans="105:143" x14ac:dyDescent="0.3">
      <c r="DA85"/>
      <c r="DB85"/>
      <c r="DC85"/>
      <c r="DD85"/>
      <c r="DE85"/>
      <c r="DF85"/>
      <c r="DG85"/>
      <c r="DH85" s="42"/>
      <c r="DI85" s="42"/>
      <c r="DJ85" s="42"/>
      <c r="DK85" s="42"/>
      <c r="DL85" s="42"/>
      <c r="EA85"/>
      <c r="EB85"/>
      <c r="EC85"/>
      <c r="ED85"/>
      <c r="EE85"/>
      <c r="EF85"/>
      <c r="EG85"/>
      <c r="EH85"/>
      <c r="EI85" s="42"/>
      <c r="EJ85" s="42"/>
      <c r="EK85" s="42"/>
      <c r="EL85" s="42"/>
      <c r="EM85" s="42"/>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D6AF2E-2D55-4887-8635-558ECB62A536}">
  <sheetPr codeName="Sheet10">
    <tabColor rgb="FF6666FF"/>
  </sheetPr>
  <dimension ref="A1:N550"/>
  <sheetViews>
    <sheetView topLeftCell="A2" zoomScale="70" zoomScaleNormal="70" workbookViewId="0">
      <selection activeCell="N3" sqref="N3"/>
    </sheetView>
  </sheetViews>
  <sheetFormatPr defaultRowHeight="14.4" x14ac:dyDescent="0.3"/>
  <cols>
    <col min="1" max="1" width="71.44140625" bestFit="1" customWidth="1"/>
    <col min="2" max="2" width="27.44140625" bestFit="1" customWidth="1"/>
    <col min="3" max="3" width="16.6640625" bestFit="1" customWidth="1"/>
    <col min="4" max="4" width="19.6640625" style="57" bestFit="1" customWidth="1"/>
    <col min="5" max="5" width="19.77734375" style="57" bestFit="1" customWidth="1"/>
    <col min="6" max="6" width="19.5546875" style="57" bestFit="1" customWidth="1"/>
    <col min="7" max="7" width="19.6640625" style="57" bestFit="1" customWidth="1"/>
    <col min="8" max="8" width="19.33203125" style="57" bestFit="1" customWidth="1"/>
    <col min="9" max="10" width="13.6640625" style="34" bestFit="1" customWidth="1"/>
    <col min="11" max="12" width="17.44140625" style="34" bestFit="1" customWidth="1"/>
    <col min="13" max="13" width="17" style="34" bestFit="1" customWidth="1"/>
    <col min="14" max="14" width="11.6640625" style="48" bestFit="1" customWidth="1"/>
  </cols>
  <sheetData>
    <row r="1" spans="1:14" hidden="1" x14ac:dyDescent="0.3">
      <c r="D1" s="70" t="s">
        <v>150</v>
      </c>
      <c r="I1" s="57"/>
      <c r="J1" s="57"/>
      <c r="K1" s="57"/>
      <c r="L1" s="57"/>
      <c r="M1" s="57"/>
      <c r="N1" s="57"/>
    </row>
    <row r="2" spans="1:14" ht="64.8" customHeight="1" x14ac:dyDescent="0.3">
      <c r="A2" s="70" t="s">
        <v>25</v>
      </c>
      <c r="B2" s="107" t="s">
        <v>23</v>
      </c>
      <c r="C2" s="107" t="s">
        <v>22</v>
      </c>
      <c r="D2" s="108" t="s">
        <v>96</v>
      </c>
      <c r="E2" s="109" t="s">
        <v>98</v>
      </c>
      <c r="F2" s="108" t="s">
        <v>97</v>
      </c>
      <c r="G2" s="109" t="s">
        <v>99</v>
      </c>
      <c r="H2" s="109" t="s">
        <v>100</v>
      </c>
      <c r="I2" s="110" t="s">
        <v>151</v>
      </c>
      <c r="J2" s="111" t="s">
        <v>152</v>
      </c>
      <c r="K2" s="113" t="s">
        <v>153</v>
      </c>
      <c r="L2" s="111" t="s">
        <v>154</v>
      </c>
      <c r="M2" s="113" t="s">
        <v>155</v>
      </c>
      <c r="N2" s="112" t="s">
        <v>149</v>
      </c>
    </row>
    <row r="3" spans="1:14" x14ac:dyDescent="0.3">
      <c r="A3" t="s">
        <v>176</v>
      </c>
      <c r="B3" t="s">
        <v>176</v>
      </c>
      <c r="C3" t="s">
        <v>176</v>
      </c>
      <c r="D3" s="106"/>
      <c r="E3" s="106"/>
      <c r="F3" s="106"/>
      <c r="G3" s="106"/>
      <c r="H3" s="106"/>
      <c r="K3" s="127"/>
      <c r="L3" s="127"/>
      <c r="M3" s="127"/>
      <c r="N3" s="106"/>
    </row>
    <row r="4" spans="1:14" x14ac:dyDescent="0.3">
      <c r="A4" t="s">
        <v>176</v>
      </c>
      <c r="B4" t="s">
        <v>177</v>
      </c>
      <c r="D4" s="106"/>
      <c r="E4" s="106"/>
      <c r="F4" s="106"/>
      <c r="G4" s="106"/>
      <c r="H4" s="106"/>
      <c r="K4" s="127"/>
      <c r="L4" s="127"/>
      <c r="M4" s="127"/>
      <c r="N4" s="106"/>
    </row>
    <row r="5" spans="1:14" x14ac:dyDescent="0.3">
      <c r="A5" t="s">
        <v>177</v>
      </c>
      <c r="D5" s="106"/>
      <c r="E5" s="106"/>
      <c r="F5" s="106"/>
      <c r="G5" s="106"/>
      <c r="H5" s="106"/>
      <c r="K5" s="127"/>
      <c r="L5" s="127"/>
      <c r="M5" s="127"/>
      <c r="N5" s="106"/>
    </row>
    <row r="6" spans="1:14" x14ac:dyDescent="0.3">
      <c r="A6" t="s">
        <v>87</v>
      </c>
      <c r="D6" s="106"/>
      <c r="E6" s="106"/>
      <c r="F6" s="106"/>
      <c r="G6" s="106"/>
      <c r="H6" s="106"/>
      <c r="K6" s="127"/>
      <c r="L6" s="127"/>
      <c r="M6" s="127"/>
      <c r="N6" s="106"/>
    </row>
    <row r="7" spans="1:14" x14ac:dyDescent="0.3">
      <c r="D7"/>
      <c r="E7"/>
      <c r="F7"/>
      <c r="G7"/>
      <c r="H7"/>
      <c r="I7"/>
      <c r="J7"/>
      <c r="K7"/>
      <c r="L7"/>
      <c r="M7"/>
      <c r="N7"/>
    </row>
    <row r="8" spans="1:14" x14ac:dyDescent="0.3">
      <c r="D8"/>
      <c r="E8"/>
      <c r="F8"/>
      <c r="G8"/>
      <c r="H8"/>
      <c r="I8"/>
      <c r="J8"/>
      <c r="K8"/>
      <c r="L8"/>
      <c r="M8"/>
      <c r="N8"/>
    </row>
    <row r="9" spans="1:14" x14ac:dyDescent="0.3">
      <c r="D9"/>
      <c r="E9"/>
      <c r="F9"/>
      <c r="G9"/>
      <c r="H9"/>
      <c r="I9"/>
      <c r="J9"/>
      <c r="K9"/>
      <c r="L9"/>
      <c r="M9"/>
      <c r="N9"/>
    </row>
    <row r="10" spans="1:14" x14ac:dyDescent="0.3">
      <c r="D10"/>
      <c r="E10"/>
      <c r="F10"/>
      <c r="G10"/>
      <c r="H10"/>
      <c r="I10"/>
      <c r="J10"/>
      <c r="K10"/>
      <c r="L10"/>
      <c r="M10"/>
      <c r="N10"/>
    </row>
    <row r="11" spans="1:14" x14ac:dyDescent="0.3">
      <c r="D11"/>
      <c r="E11"/>
      <c r="F11"/>
      <c r="G11"/>
      <c r="H11"/>
      <c r="I11"/>
      <c r="J11"/>
      <c r="K11"/>
      <c r="L11"/>
      <c r="M11"/>
      <c r="N11"/>
    </row>
    <row r="12" spans="1:14" x14ac:dyDescent="0.3">
      <c r="D12"/>
      <c r="E12"/>
      <c r="F12"/>
      <c r="G12"/>
      <c r="H12"/>
      <c r="I12"/>
      <c r="J12"/>
      <c r="K12"/>
      <c r="L12"/>
      <c r="M12"/>
      <c r="N12"/>
    </row>
    <row r="13" spans="1:14" x14ac:dyDescent="0.3">
      <c r="D13"/>
      <c r="E13"/>
      <c r="F13"/>
      <c r="G13"/>
      <c r="H13"/>
      <c r="I13"/>
      <c r="J13"/>
      <c r="K13"/>
      <c r="L13"/>
      <c r="M13"/>
      <c r="N13"/>
    </row>
    <row r="14" spans="1:14" x14ac:dyDescent="0.3">
      <c r="D14"/>
      <c r="E14"/>
      <c r="F14"/>
      <c r="G14"/>
      <c r="H14"/>
      <c r="I14"/>
      <c r="J14"/>
      <c r="K14"/>
      <c r="L14"/>
      <c r="M14"/>
      <c r="N14"/>
    </row>
    <row r="15" spans="1:14" x14ac:dyDescent="0.3">
      <c r="D15"/>
      <c r="E15"/>
      <c r="F15"/>
      <c r="G15"/>
      <c r="H15"/>
      <c r="I15"/>
      <c r="J15"/>
      <c r="K15"/>
      <c r="L15"/>
      <c r="M15"/>
      <c r="N15"/>
    </row>
    <row r="16" spans="1:14" x14ac:dyDescent="0.3">
      <c r="D16"/>
      <c r="E16"/>
      <c r="F16"/>
      <c r="G16"/>
      <c r="H16"/>
      <c r="I16"/>
      <c r="J16"/>
      <c r="K16"/>
      <c r="L16"/>
      <c r="M16"/>
      <c r="N16"/>
    </row>
    <row r="17" customFormat="1" x14ac:dyDescent="0.3"/>
    <row r="18" customFormat="1" x14ac:dyDescent="0.3"/>
    <row r="19" customFormat="1" x14ac:dyDescent="0.3"/>
    <row r="20" customFormat="1" x14ac:dyDescent="0.3"/>
    <row r="21" customFormat="1" x14ac:dyDescent="0.3"/>
    <row r="22" customFormat="1" x14ac:dyDescent="0.3"/>
    <row r="23" customFormat="1" x14ac:dyDescent="0.3"/>
    <row r="24" customFormat="1" x14ac:dyDescent="0.3"/>
    <row r="25" customFormat="1" x14ac:dyDescent="0.3"/>
    <row r="26" customFormat="1" x14ac:dyDescent="0.3"/>
    <row r="27" customFormat="1" x14ac:dyDescent="0.3"/>
    <row r="28" customFormat="1" x14ac:dyDescent="0.3"/>
    <row r="29" customFormat="1" x14ac:dyDescent="0.3"/>
    <row r="30" customFormat="1" x14ac:dyDescent="0.3"/>
    <row r="31" customFormat="1" x14ac:dyDescent="0.3"/>
    <row r="32" customFormat="1" x14ac:dyDescent="0.3"/>
    <row r="33" customFormat="1" x14ac:dyDescent="0.3"/>
    <row r="34" customFormat="1" x14ac:dyDescent="0.3"/>
    <row r="35" customFormat="1" x14ac:dyDescent="0.3"/>
    <row r="36" customFormat="1" x14ac:dyDescent="0.3"/>
    <row r="37" customFormat="1" x14ac:dyDescent="0.3"/>
    <row r="38" customFormat="1" x14ac:dyDescent="0.3"/>
    <row r="39" customFormat="1" x14ac:dyDescent="0.3"/>
    <row r="40" customFormat="1" x14ac:dyDescent="0.3"/>
    <row r="41" customFormat="1" x14ac:dyDescent="0.3"/>
    <row r="42" customFormat="1" x14ac:dyDescent="0.3"/>
    <row r="43" customFormat="1" x14ac:dyDescent="0.3"/>
    <row r="44" customFormat="1" x14ac:dyDescent="0.3"/>
    <row r="45" customFormat="1" x14ac:dyDescent="0.3"/>
    <row r="46" customFormat="1" x14ac:dyDescent="0.3"/>
    <row r="47" customFormat="1" x14ac:dyDescent="0.3"/>
    <row r="48" customFormat="1" x14ac:dyDescent="0.3"/>
    <row r="49" customFormat="1" x14ac:dyDescent="0.3"/>
    <row r="50" customFormat="1" x14ac:dyDescent="0.3"/>
    <row r="51" customFormat="1" x14ac:dyDescent="0.3"/>
    <row r="52" customFormat="1" x14ac:dyDescent="0.3"/>
    <row r="53" customFormat="1" x14ac:dyDescent="0.3"/>
    <row r="54" customFormat="1" x14ac:dyDescent="0.3"/>
    <row r="55" customFormat="1" x14ac:dyDescent="0.3"/>
    <row r="56" customFormat="1" x14ac:dyDescent="0.3"/>
    <row r="57" customFormat="1" x14ac:dyDescent="0.3"/>
    <row r="58" customFormat="1" x14ac:dyDescent="0.3"/>
    <row r="59" customFormat="1" x14ac:dyDescent="0.3"/>
    <row r="60" customFormat="1" x14ac:dyDescent="0.3"/>
    <row r="61" customFormat="1" x14ac:dyDescent="0.3"/>
    <row r="62" customFormat="1" x14ac:dyDescent="0.3"/>
    <row r="63" customFormat="1" x14ac:dyDescent="0.3"/>
    <row r="64" customFormat="1" x14ac:dyDescent="0.3"/>
    <row r="65" customFormat="1" x14ac:dyDescent="0.3"/>
    <row r="66" customFormat="1" x14ac:dyDescent="0.3"/>
    <row r="67" customFormat="1" x14ac:dyDescent="0.3"/>
    <row r="68" customFormat="1" x14ac:dyDescent="0.3"/>
    <row r="69" customFormat="1" x14ac:dyDescent="0.3"/>
    <row r="70" customFormat="1" x14ac:dyDescent="0.3"/>
    <row r="71" customFormat="1" x14ac:dyDescent="0.3"/>
    <row r="72" customFormat="1" x14ac:dyDescent="0.3"/>
    <row r="73" customFormat="1" x14ac:dyDescent="0.3"/>
    <row r="74" customFormat="1" x14ac:dyDescent="0.3"/>
    <row r="75" customFormat="1" x14ac:dyDescent="0.3"/>
    <row r="76" customFormat="1" x14ac:dyDescent="0.3"/>
    <row r="77" customFormat="1" x14ac:dyDescent="0.3"/>
    <row r="78" customFormat="1" x14ac:dyDescent="0.3"/>
    <row r="79" customFormat="1" x14ac:dyDescent="0.3"/>
    <row r="80" customFormat="1" x14ac:dyDescent="0.3"/>
    <row r="81" customFormat="1" x14ac:dyDescent="0.3"/>
    <row r="82" customFormat="1" x14ac:dyDescent="0.3"/>
    <row r="83" customFormat="1" x14ac:dyDescent="0.3"/>
    <row r="84" customFormat="1" x14ac:dyDescent="0.3"/>
    <row r="85" customFormat="1" x14ac:dyDescent="0.3"/>
    <row r="86" customFormat="1" x14ac:dyDescent="0.3"/>
    <row r="87" customFormat="1" x14ac:dyDescent="0.3"/>
    <row r="88" customFormat="1" x14ac:dyDescent="0.3"/>
    <row r="89" customFormat="1" x14ac:dyDescent="0.3"/>
    <row r="90" customFormat="1" x14ac:dyDescent="0.3"/>
    <row r="91" customFormat="1" x14ac:dyDescent="0.3"/>
    <row r="92" customFormat="1" x14ac:dyDescent="0.3"/>
    <row r="93" customFormat="1" x14ac:dyDescent="0.3"/>
    <row r="94" customFormat="1" x14ac:dyDescent="0.3"/>
    <row r="95" customFormat="1" x14ac:dyDescent="0.3"/>
    <row r="96" customFormat="1" x14ac:dyDescent="0.3"/>
    <row r="97" customFormat="1" x14ac:dyDescent="0.3"/>
    <row r="98" customFormat="1" x14ac:dyDescent="0.3"/>
    <row r="99" customFormat="1" x14ac:dyDescent="0.3"/>
    <row r="100" customFormat="1" x14ac:dyDescent="0.3"/>
    <row r="101" customFormat="1" x14ac:dyDescent="0.3"/>
    <row r="102" customFormat="1" x14ac:dyDescent="0.3"/>
    <row r="103" customFormat="1" x14ac:dyDescent="0.3"/>
    <row r="104" customFormat="1" x14ac:dyDescent="0.3"/>
    <row r="105" customFormat="1" x14ac:dyDescent="0.3"/>
    <row r="106" customFormat="1" x14ac:dyDescent="0.3"/>
    <row r="107" customFormat="1" x14ac:dyDescent="0.3"/>
    <row r="108" customFormat="1" x14ac:dyDescent="0.3"/>
    <row r="109" customFormat="1" x14ac:dyDescent="0.3"/>
    <row r="110" customFormat="1" x14ac:dyDescent="0.3"/>
    <row r="111" customFormat="1" x14ac:dyDescent="0.3"/>
    <row r="112" customFormat="1" x14ac:dyDescent="0.3"/>
    <row r="113" customFormat="1" x14ac:dyDescent="0.3"/>
    <row r="114" customFormat="1" x14ac:dyDescent="0.3"/>
    <row r="115" customFormat="1" x14ac:dyDescent="0.3"/>
    <row r="116" customFormat="1" x14ac:dyDescent="0.3"/>
    <row r="117" customFormat="1" x14ac:dyDescent="0.3"/>
    <row r="118" customFormat="1" x14ac:dyDescent="0.3"/>
    <row r="119" customFormat="1" x14ac:dyDescent="0.3"/>
    <row r="120" customFormat="1" x14ac:dyDescent="0.3"/>
    <row r="121" customFormat="1" x14ac:dyDescent="0.3"/>
    <row r="122" customFormat="1" x14ac:dyDescent="0.3"/>
    <row r="123" customFormat="1" x14ac:dyDescent="0.3"/>
    <row r="124" customFormat="1" x14ac:dyDescent="0.3"/>
    <row r="125" customFormat="1" x14ac:dyDescent="0.3"/>
    <row r="126" customFormat="1" x14ac:dyDescent="0.3"/>
    <row r="127" customFormat="1" x14ac:dyDescent="0.3"/>
    <row r="128" customFormat="1" x14ac:dyDescent="0.3"/>
    <row r="129" customFormat="1" x14ac:dyDescent="0.3"/>
    <row r="130" customFormat="1" x14ac:dyDescent="0.3"/>
    <row r="131" customFormat="1" x14ac:dyDescent="0.3"/>
    <row r="132" customFormat="1" x14ac:dyDescent="0.3"/>
    <row r="133" customFormat="1" x14ac:dyDescent="0.3"/>
    <row r="134" customFormat="1" x14ac:dyDescent="0.3"/>
    <row r="135" customFormat="1" x14ac:dyDescent="0.3"/>
    <row r="136" customFormat="1" x14ac:dyDescent="0.3"/>
    <row r="137" customFormat="1" x14ac:dyDescent="0.3"/>
    <row r="138" customFormat="1" x14ac:dyDescent="0.3"/>
    <row r="139" customFormat="1" x14ac:dyDescent="0.3"/>
    <row r="140" customFormat="1" x14ac:dyDescent="0.3"/>
    <row r="141" customFormat="1" x14ac:dyDescent="0.3"/>
    <row r="142" customFormat="1" x14ac:dyDescent="0.3"/>
    <row r="143" customFormat="1" x14ac:dyDescent="0.3"/>
    <row r="144" customFormat="1" x14ac:dyDescent="0.3"/>
    <row r="145" customFormat="1" x14ac:dyDescent="0.3"/>
    <row r="146" customFormat="1" x14ac:dyDescent="0.3"/>
    <row r="147" customFormat="1" x14ac:dyDescent="0.3"/>
    <row r="148" customFormat="1" x14ac:dyDescent="0.3"/>
    <row r="149" customFormat="1" x14ac:dyDescent="0.3"/>
    <row r="150" customFormat="1" x14ac:dyDescent="0.3"/>
    <row r="151" customFormat="1" x14ac:dyDescent="0.3"/>
    <row r="152" customFormat="1" x14ac:dyDescent="0.3"/>
    <row r="153" customFormat="1" x14ac:dyDescent="0.3"/>
    <row r="154" customFormat="1" x14ac:dyDescent="0.3"/>
    <row r="155" customFormat="1" x14ac:dyDescent="0.3"/>
    <row r="156" customFormat="1" x14ac:dyDescent="0.3"/>
    <row r="157" customFormat="1" x14ac:dyDescent="0.3"/>
    <row r="158" customFormat="1" x14ac:dyDescent="0.3"/>
    <row r="159" customFormat="1" x14ac:dyDescent="0.3"/>
    <row r="160" customFormat="1" x14ac:dyDescent="0.3"/>
    <row r="161" customFormat="1" x14ac:dyDescent="0.3"/>
    <row r="162" customFormat="1" x14ac:dyDescent="0.3"/>
    <row r="163" customFormat="1" x14ac:dyDescent="0.3"/>
    <row r="164" customFormat="1" x14ac:dyDescent="0.3"/>
    <row r="165" customFormat="1" x14ac:dyDescent="0.3"/>
    <row r="166" customFormat="1" x14ac:dyDescent="0.3"/>
    <row r="167" customFormat="1" x14ac:dyDescent="0.3"/>
    <row r="168" customFormat="1" x14ac:dyDescent="0.3"/>
    <row r="169" customFormat="1" x14ac:dyDescent="0.3"/>
    <row r="170" customFormat="1" x14ac:dyDescent="0.3"/>
    <row r="171" customFormat="1" x14ac:dyDescent="0.3"/>
    <row r="172" customFormat="1" x14ac:dyDescent="0.3"/>
    <row r="173" customFormat="1" x14ac:dyDescent="0.3"/>
    <row r="174" customFormat="1" x14ac:dyDescent="0.3"/>
    <row r="175" customFormat="1" x14ac:dyDescent="0.3"/>
    <row r="176" customFormat="1" x14ac:dyDescent="0.3"/>
    <row r="177" customFormat="1" x14ac:dyDescent="0.3"/>
    <row r="178" customFormat="1" x14ac:dyDescent="0.3"/>
    <row r="179" customFormat="1" x14ac:dyDescent="0.3"/>
    <row r="180" customFormat="1" x14ac:dyDescent="0.3"/>
    <row r="181" customFormat="1" x14ac:dyDescent="0.3"/>
    <row r="182" customFormat="1" x14ac:dyDescent="0.3"/>
    <row r="183" customFormat="1" x14ac:dyDescent="0.3"/>
    <row r="184" customFormat="1" x14ac:dyDescent="0.3"/>
    <row r="185" customFormat="1" x14ac:dyDescent="0.3"/>
    <row r="186" customFormat="1" x14ac:dyDescent="0.3"/>
    <row r="187" customFormat="1" x14ac:dyDescent="0.3"/>
    <row r="188" customFormat="1" x14ac:dyDescent="0.3"/>
    <row r="189" customFormat="1" x14ac:dyDescent="0.3"/>
    <row r="190" customFormat="1" x14ac:dyDescent="0.3"/>
    <row r="191" customFormat="1" x14ac:dyDescent="0.3"/>
    <row r="192" customFormat="1" x14ac:dyDescent="0.3"/>
    <row r="193" customFormat="1" x14ac:dyDescent="0.3"/>
    <row r="194" customFormat="1" x14ac:dyDescent="0.3"/>
    <row r="195" customFormat="1" x14ac:dyDescent="0.3"/>
    <row r="196" customFormat="1" x14ac:dyDescent="0.3"/>
    <row r="197" customFormat="1" x14ac:dyDescent="0.3"/>
    <row r="198" customFormat="1" x14ac:dyDescent="0.3"/>
    <row r="199" customFormat="1" x14ac:dyDescent="0.3"/>
    <row r="200" customFormat="1" x14ac:dyDescent="0.3"/>
    <row r="201" customFormat="1" x14ac:dyDescent="0.3"/>
    <row r="202" customFormat="1" x14ac:dyDescent="0.3"/>
    <row r="203" customFormat="1" x14ac:dyDescent="0.3"/>
    <row r="204" customFormat="1" x14ac:dyDescent="0.3"/>
    <row r="205" customFormat="1" x14ac:dyDescent="0.3"/>
    <row r="206" customFormat="1" x14ac:dyDescent="0.3"/>
    <row r="207" customFormat="1" x14ac:dyDescent="0.3"/>
    <row r="208" customFormat="1" x14ac:dyDescent="0.3"/>
    <row r="209" customFormat="1" x14ac:dyDescent="0.3"/>
    <row r="210" customFormat="1" x14ac:dyDescent="0.3"/>
    <row r="211" customFormat="1" x14ac:dyDescent="0.3"/>
    <row r="212" customFormat="1" x14ac:dyDescent="0.3"/>
    <row r="213" customFormat="1" x14ac:dyDescent="0.3"/>
    <row r="214" customFormat="1" x14ac:dyDescent="0.3"/>
    <row r="215" customFormat="1" x14ac:dyDescent="0.3"/>
    <row r="216" customFormat="1" x14ac:dyDescent="0.3"/>
    <row r="217" customFormat="1" x14ac:dyDescent="0.3"/>
    <row r="218" customFormat="1" x14ac:dyDescent="0.3"/>
    <row r="219" customFormat="1" x14ac:dyDescent="0.3"/>
    <row r="220" customFormat="1" x14ac:dyDescent="0.3"/>
    <row r="221" customFormat="1" x14ac:dyDescent="0.3"/>
    <row r="222" customFormat="1" x14ac:dyDescent="0.3"/>
    <row r="223" customFormat="1" x14ac:dyDescent="0.3"/>
    <row r="224" customFormat="1" x14ac:dyDescent="0.3"/>
    <row r="225" customFormat="1" x14ac:dyDescent="0.3"/>
    <row r="226" customFormat="1" x14ac:dyDescent="0.3"/>
    <row r="227" customFormat="1" x14ac:dyDescent="0.3"/>
    <row r="228" customFormat="1" x14ac:dyDescent="0.3"/>
    <row r="229" customFormat="1" x14ac:dyDescent="0.3"/>
    <row r="230" customFormat="1" x14ac:dyDescent="0.3"/>
    <row r="231" customFormat="1" x14ac:dyDescent="0.3"/>
    <row r="232" customFormat="1" x14ac:dyDescent="0.3"/>
    <row r="233" customFormat="1" x14ac:dyDescent="0.3"/>
    <row r="234" customFormat="1" x14ac:dyDescent="0.3"/>
    <row r="235" customFormat="1" x14ac:dyDescent="0.3"/>
    <row r="236" customFormat="1" x14ac:dyDescent="0.3"/>
    <row r="237" customFormat="1" x14ac:dyDescent="0.3"/>
    <row r="238" customFormat="1" x14ac:dyDescent="0.3"/>
    <row r="239" customFormat="1" x14ac:dyDescent="0.3"/>
    <row r="240" customFormat="1" x14ac:dyDescent="0.3"/>
    <row r="241" customFormat="1" x14ac:dyDescent="0.3"/>
    <row r="242" customFormat="1" x14ac:dyDescent="0.3"/>
    <row r="243" customFormat="1" x14ac:dyDescent="0.3"/>
    <row r="244" customFormat="1" x14ac:dyDescent="0.3"/>
    <row r="245" customFormat="1" x14ac:dyDescent="0.3"/>
    <row r="246" customFormat="1" x14ac:dyDescent="0.3"/>
    <row r="247" customFormat="1" x14ac:dyDescent="0.3"/>
    <row r="248" customFormat="1" x14ac:dyDescent="0.3"/>
    <row r="249" customFormat="1" x14ac:dyDescent="0.3"/>
    <row r="250" customFormat="1" x14ac:dyDescent="0.3"/>
    <row r="251" customFormat="1" x14ac:dyDescent="0.3"/>
    <row r="252" customFormat="1" x14ac:dyDescent="0.3"/>
    <row r="253" customFormat="1" x14ac:dyDescent="0.3"/>
    <row r="254" customFormat="1" x14ac:dyDescent="0.3"/>
    <row r="255" customFormat="1" x14ac:dyDescent="0.3"/>
    <row r="256" customFormat="1" x14ac:dyDescent="0.3"/>
    <row r="257" customFormat="1" x14ac:dyDescent="0.3"/>
    <row r="258" customFormat="1" x14ac:dyDescent="0.3"/>
    <row r="259" customFormat="1" x14ac:dyDescent="0.3"/>
    <row r="260" customFormat="1" x14ac:dyDescent="0.3"/>
    <row r="261" customFormat="1" x14ac:dyDescent="0.3"/>
    <row r="262" customFormat="1" x14ac:dyDescent="0.3"/>
    <row r="263" customFormat="1" x14ac:dyDescent="0.3"/>
    <row r="264" customFormat="1" x14ac:dyDescent="0.3"/>
    <row r="265" customFormat="1" x14ac:dyDescent="0.3"/>
    <row r="266" customFormat="1" x14ac:dyDescent="0.3"/>
    <row r="267" customFormat="1" x14ac:dyDescent="0.3"/>
    <row r="268" customFormat="1" x14ac:dyDescent="0.3"/>
    <row r="269" customFormat="1" x14ac:dyDescent="0.3"/>
    <row r="270" customFormat="1" x14ac:dyDescent="0.3"/>
    <row r="271" customFormat="1" x14ac:dyDescent="0.3"/>
    <row r="272" customFormat="1" x14ac:dyDescent="0.3"/>
    <row r="273" customFormat="1" x14ac:dyDescent="0.3"/>
    <row r="274" customFormat="1" x14ac:dyDescent="0.3"/>
    <row r="275" customFormat="1" x14ac:dyDescent="0.3"/>
    <row r="276" customFormat="1" x14ac:dyDescent="0.3"/>
    <row r="277" customFormat="1" x14ac:dyDescent="0.3"/>
    <row r="278" customFormat="1" x14ac:dyDescent="0.3"/>
    <row r="279" customFormat="1" x14ac:dyDescent="0.3"/>
    <row r="280" customFormat="1" x14ac:dyDescent="0.3"/>
    <row r="281" customFormat="1" x14ac:dyDescent="0.3"/>
    <row r="282" customFormat="1" x14ac:dyDescent="0.3"/>
    <row r="283" customFormat="1" x14ac:dyDescent="0.3"/>
    <row r="284" customFormat="1" x14ac:dyDescent="0.3"/>
    <row r="285" customFormat="1" x14ac:dyDescent="0.3"/>
    <row r="286" customFormat="1" x14ac:dyDescent="0.3"/>
    <row r="287" customFormat="1" x14ac:dyDescent="0.3"/>
    <row r="288" customFormat="1" x14ac:dyDescent="0.3"/>
    <row r="289" customFormat="1" x14ac:dyDescent="0.3"/>
    <row r="290" customFormat="1" x14ac:dyDescent="0.3"/>
    <row r="291" customFormat="1" x14ac:dyDescent="0.3"/>
    <row r="292" customFormat="1" x14ac:dyDescent="0.3"/>
    <row r="293" customFormat="1" x14ac:dyDescent="0.3"/>
    <row r="294" customFormat="1" x14ac:dyDescent="0.3"/>
    <row r="295" customFormat="1" x14ac:dyDescent="0.3"/>
    <row r="296" customFormat="1" x14ac:dyDescent="0.3"/>
    <row r="297" customFormat="1" x14ac:dyDescent="0.3"/>
    <row r="298" customFormat="1" x14ac:dyDescent="0.3"/>
    <row r="299" customFormat="1" x14ac:dyDescent="0.3"/>
    <row r="300" customFormat="1" x14ac:dyDescent="0.3"/>
    <row r="301" customFormat="1" x14ac:dyDescent="0.3"/>
    <row r="302" customFormat="1" x14ac:dyDescent="0.3"/>
    <row r="303" customFormat="1" x14ac:dyDescent="0.3"/>
    <row r="304" customFormat="1" x14ac:dyDescent="0.3"/>
    <row r="305" customFormat="1" x14ac:dyDescent="0.3"/>
    <row r="306" customFormat="1" x14ac:dyDescent="0.3"/>
    <row r="307" customFormat="1" x14ac:dyDescent="0.3"/>
    <row r="308" customFormat="1" x14ac:dyDescent="0.3"/>
    <row r="309" customFormat="1" x14ac:dyDescent="0.3"/>
    <row r="310" customFormat="1" x14ac:dyDescent="0.3"/>
    <row r="311" customFormat="1" x14ac:dyDescent="0.3"/>
    <row r="312" customFormat="1" x14ac:dyDescent="0.3"/>
    <row r="313" customFormat="1" x14ac:dyDescent="0.3"/>
    <row r="314" customFormat="1" x14ac:dyDescent="0.3"/>
    <row r="315" customFormat="1" x14ac:dyDescent="0.3"/>
    <row r="316" customFormat="1" x14ac:dyDescent="0.3"/>
    <row r="317" customFormat="1" x14ac:dyDescent="0.3"/>
    <row r="318" customFormat="1" x14ac:dyDescent="0.3"/>
    <row r="319" customFormat="1" x14ac:dyDescent="0.3"/>
    <row r="320" customFormat="1" x14ac:dyDescent="0.3"/>
    <row r="321" customFormat="1" x14ac:dyDescent="0.3"/>
    <row r="322" customFormat="1" x14ac:dyDescent="0.3"/>
    <row r="323" customFormat="1" x14ac:dyDescent="0.3"/>
    <row r="324" customFormat="1" x14ac:dyDescent="0.3"/>
    <row r="325" customFormat="1" x14ac:dyDescent="0.3"/>
    <row r="326" customFormat="1" x14ac:dyDescent="0.3"/>
    <row r="327" customFormat="1" x14ac:dyDescent="0.3"/>
    <row r="328" customFormat="1" x14ac:dyDescent="0.3"/>
    <row r="329" customFormat="1" x14ac:dyDescent="0.3"/>
    <row r="330" customFormat="1" x14ac:dyDescent="0.3"/>
    <row r="331" customFormat="1" x14ac:dyDescent="0.3"/>
    <row r="332" customFormat="1" x14ac:dyDescent="0.3"/>
    <row r="333" customFormat="1" x14ac:dyDescent="0.3"/>
    <row r="334" customFormat="1" x14ac:dyDescent="0.3"/>
    <row r="335" customFormat="1" x14ac:dyDescent="0.3"/>
    <row r="336" customFormat="1" x14ac:dyDescent="0.3"/>
    <row r="337" customFormat="1" x14ac:dyDescent="0.3"/>
    <row r="338" customFormat="1" x14ac:dyDescent="0.3"/>
    <row r="339" customFormat="1" x14ac:dyDescent="0.3"/>
    <row r="340" customFormat="1" x14ac:dyDescent="0.3"/>
    <row r="341" customFormat="1" x14ac:dyDescent="0.3"/>
    <row r="342" customFormat="1" x14ac:dyDescent="0.3"/>
    <row r="343" customFormat="1" x14ac:dyDescent="0.3"/>
    <row r="344" customFormat="1" x14ac:dyDescent="0.3"/>
    <row r="345" customFormat="1" x14ac:dyDescent="0.3"/>
    <row r="346" customFormat="1" x14ac:dyDescent="0.3"/>
    <row r="347" customFormat="1" x14ac:dyDescent="0.3"/>
    <row r="348" customFormat="1" x14ac:dyDescent="0.3"/>
    <row r="349" customFormat="1" x14ac:dyDescent="0.3"/>
    <row r="350" customFormat="1" x14ac:dyDescent="0.3"/>
    <row r="351" customFormat="1" x14ac:dyDescent="0.3"/>
    <row r="352" customFormat="1" x14ac:dyDescent="0.3"/>
    <row r="353" customFormat="1" x14ac:dyDescent="0.3"/>
    <row r="354" customFormat="1" x14ac:dyDescent="0.3"/>
    <row r="355" customFormat="1" x14ac:dyDescent="0.3"/>
    <row r="356" customFormat="1" x14ac:dyDescent="0.3"/>
    <row r="357" customFormat="1" x14ac:dyDescent="0.3"/>
    <row r="358" customFormat="1" x14ac:dyDescent="0.3"/>
    <row r="359" customFormat="1" x14ac:dyDescent="0.3"/>
    <row r="360" customFormat="1" x14ac:dyDescent="0.3"/>
    <row r="361" customFormat="1" x14ac:dyDescent="0.3"/>
    <row r="362" customFormat="1" x14ac:dyDescent="0.3"/>
    <row r="363" customFormat="1" x14ac:dyDescent="0.3"/>
    <row r="364" customFormat="1" x14ac:dyDescent="0.3"/>
    <row r="365" customFormat="1" x14ac:dyDescent="0.3"/>
    <row r="366" customFormat="1" x14ac:dyDescent="0.3"/>
    <row r="367" customFormat="1" x14ac:dyDescent="0.3"/>
    <row r="368" customFormat="1" x14ac:dyDescent="0.3"/>
    <row r="369" customFormat="1" x14ac:dyDescent="0.3"/>
    <row r="370" customFormat="1" x14ac:dyDescent="0.3"/>
    <row r="371" customFormat="1" x14ac:dyDescent="0.3"/>
    <row r="372" customFormat="1" x14ac:dyDescent="0.3"/>
    <row r="373" customFormat="1" x14ac:dyDescent="0.3"/>
    <row r="374" customFormat="1" x14ac:dyDescent="0.3"/>
    <row r="375" customFormat="1" x14ac:dyDescent="0.3"/>
    <row r="376" customFormat="1" x14ac:dyDescent="0.3"/>
    <row r="377" customFormat="1" x14ac:dyDescent="0.3"/>
    <row r="378" customFormat="1" x14ac:dyDescent="0.3"/>
    <row r="379" customFormat="1" x14ac:dyDescent="0.3"/>
    <row r="380" customFormat="1" x14ac:dyDescent="0.3"/>
    <row r="381" customFormat="1" x14ac:dyDescent="0.3"/>
    <row r="382" customFormat="1" x14ac:dyDescent="0.3"/>
    <row r="383" customFormat="1" x14ac:dyDescent="0.3"/>
    <row r="384" customFormat="1" x14ac:dyDescent="0.3"/>
    <row r="385" customFormat="1" x14ac:dyDescent="0.3"/>
    <row r="386" customFormat="1" x14ac:dyDescent="0.3"/>
    <row r="387" customFormat="1" x14ac:dyDescent="0.3"/>
    <row r="388" customFormat="1" x14ac:dyDescent="0.3"/>
    <row r="389" customFormat="1" x14ac:dyDescent="0.3"/>
    <row r="390" customFormat="1" x14ac:dyDescent="0.3"/>
    <row r="391" customFormat="1" x14ac:dyDescent="0.3"/>
    <row r="392" customFormat="1" x14ac:dyDescent="0.3"/>
    <row r="393" customFormat="1" x14ac:dyDescent="0.3"/>
    <row r="394" customFormat="1" x14ac:dyDescent="0.3"/>
    <row r="395" customFormat="1" x14ac:dyDescent="0.3"/>
    <row r="396" customFormat="1" x14ac:dyDescent="0.3"/>
    <row r="397" customFormat="1" x14ac:dyDescent="0.3"/>
    <row r="398" customFormat="1" x14ac:dyDescent="0.3"/>
    <row r="399" customFormat="1" x14ac:dyDescent="0.3"/>
    <row r="400" customFormat="1" x14ac:dyDescent="0.3"/>
    <row r="401" customFormat="1" x14ac:dyDescent="0.3"/>
    <row r="402" customFormat="1" x14ac:dyDescent="0.3"/>
    <row r="403" customFormat="1" x14ac:dyDescent="0.3"/>
    <row r="404" customFormat="1" x14ac:dyDescent="0.3"/>
    <row r="405" customFormat="1" x14ac:dyDescent="0.3"/>
    <row r="406" customFormat="1" x14ac:dyDescent="0.3"/>
    <row r="407" customFormat="1" x14ac:dyDescent="0.3"/>
    <row r="408" customFormat="1" x14ac:dyDescent="0.3"/>
    <row r="409" customFormat="1" x14ac:dyDescent="0.3"/>
    <row r="410" customFormat="1" x14ac:dyDescent="0.3"/>
    <row r="411" customFormat="1" x14ac:dyDescent="0.3"/>
    <row r="412" customFormat="1" x14ac:dyDescent="0.3"/>
    <row r="413" customFormat="1" x14ac:dyDescent="0.3"/>
    <row r="414" customFormat="1" x14ac:dyDescent="0.3"/>
    <row r="415" customFormat="1" x14ac:dyDescent="0.3"/>
    <row r="416" customFormat="1" x14ac:dyDescent="0.3"/>
    <row r="417" customFormat="1" x14ac:dyDescent="0.3"/>
    <row r="418" customFormat="1" x14ac:dyDescent="0.3"/>
    <row r="419" customFormat="1" x14ac:dyDescent="0.3"/>
    <row r="420" customFormat="1" x14ac:dyDescent="0.3"/>
    <row r="421" customFormat="1" x14ac:dyDescent="0.3"/>
    <row r="422" customFormat="1" x14ac:dyDescent="0.3"/>
    <row r="423" customFormat="1" x14ac:dyDescent="0.3"/>
    <row r="424" customFormat="1" x14ac:dyDescent="0.3"/>
    <row r="425" customFormat="1" x14ac:dyDescent="0.3"/>
    <row r="426" customFormat="1" x14ac:dyDescent="0.3"/>
    <row r="427" customFormat="1" x14ac:dyDescent="0.3"/>
    <row r="428" customFormat="1" x14ac:dyDescent="0.3"/>
    <row r="429" customFormat="1" x14ac:dyDescent="0.3"/>
    <row r="430" customFormat="1" x14ac:dyDescent="0.3"/>
    <row r="431" customFormat="1" x14ac:dyDescent="0.3"/>
    <row r="432" customFormat="1" x14ac:dyDescent="0.3"/>
    <row r="433" customFormat="1" x14ac:dyDescent="0.3"/>
    <row r="434" customFormat="1" x14ac:dyDescent="0.3"/>
    <row r="435" customFormat="1" x14ac:dyDescent="0.3"/>
    <row r="436" customFormat="1" x14ac:dyDescent="0.3"/>
    <row r="437" customFormat="1" x14ac:dyDescent="0.3"/>
    <row r="438" customFormat="1" x14ac:dyDescent="0.3"/>
    <row r="439" customFormat="1" x14ac:dyDescent="0.3"/>
    <row r="440" customFormat="1" x14ac:dyDescent="0.3"/>
    <row r="441" customFormat="1" x14ac:dyDescent="0.3"/>
    <row r="442" customFormat="1" x14ac:dyDescent="0.3"/>
    <row r="443" customFormat="1" x14ac:dyDescent="0.3"/>
    <row r="444" customFormat="1" x14ac:dyDescent="0.3"/>
    <row r="445" customFormat="1" x14ac:dyDescent="0.3"/>
    <row r="446" customFormat="1" x14ac:dyDescent="0.3"/>
    <row r="447" customFormat="1" x14ac:dyDescent="0.3"/>
    <row r="448" customFormat="1" x14ac:dyDescent="0.3"/>
    <row r="449" customFormat="1" x14ac:dyDescent="0.3"/>
    <row r="450" customFormat="1" x14ac:dyDescent="0.3"/>
    <row r="451" customFormat="1" x14ac:dyDescent="0.3"/>
    <row r="452" customFormat="1" x14ac:dyDescent="0.3"/>
    <row r="453" customFormat="1" x14ac:dyDescent="0.3"/>
    <row r="454" customFormat="1" x14ac:dyDescent="0.3"/>
    <row r="455" customFormat="1" x14ac:dyDescent="0.3"/>
    <row r="456" customFormat="1" x14ac:dyDescent="0.3"/>
    <row r="457" customFormat="1" x14ac:dyDescent="0.3"/>
    <row r="458" customFormat="1" x14ac:dyDescent="0.3"/>
    <row r="459" customFormat="1" x14ac:dyDescent="0.3"/>
    <row r="460" customFormat="1" x14ac:dyDescent="0.3"/>
    <row r="461" customFormat="1" x14ac:dyDescent="0.3"/>
    <row r="462" customFormat="1" x14ac:dyDescent="0.3"/>
    <row r="463" customFormat="1" x14ac:dyDescent="0.3"/>
    <row r="464" customFormat="1" x14ac:dyDescent="0.3"/>
    <row r="465" customFormat="1" x14ac:dyDescent="0.3"/>
    <row r="466" customFormat="1" x14ac:dyDescent="0.3"/>
    <row r="467" customFormat="1" x14ac:dyDescent="0.3"/>
    <row r="468" customFormat="1" x14ac:dyDescent="0.3"/>
    <row r="469" customFormat="1" x14ac:dyDescent="0.3"/>
    <row r="470" customFormat="1" x14ac:dyDescent="0.3"/>
    <row r="471" customFormat="1" x14ac:dyDescent="0.3"/>
    <row r="472" customFormat="1" x14ac:dyDescent="0.3"/>
    <row r="473" customFormat="1" x14ac:dyDescent="0.3"/>
    <row r="474" customFormat="1" x14ac:dyDescent="0.3"/>
    <row r="475" customFormat="1" x14ac:dyDescent="0.3"/>
    <row r="476" customFormat="1" x14ac:dyDescent="0.3"/>
    <row r="477" customFormat="1" x14ac:dyDescent="0.3"/>
    <row r="478" customFormat="1" x14ac:dyDescent="0.3"/>
    <row r="479" customFormat="1" x14ac:dyDescent="0.3"/>
    <row r="480" customFormat="1" x14ac:dyDescent="0.3"/>
    <row r="481" customFormat="1" x14ac:dyDescent="0.3"/>
    <row r="482" customFormat="1" x14ac:dyDescent="0.3"/>
    <row r="483" customFormat="1" x14ac:dyDescent="0.3"/>
    <row r="484" customFormat="1" x14ac:dyDescent="0.3"/>
    <row r="485" customFormat="1" x14ac:dyDescent="0.3"/>
    <row r="486" customFormat="1" x14ac:dyDescent="0.3"/>
    <row r="487" customFormat="1" x14ac:dyDescent="0.3"/>
    <row r="488" customFormat="1" x14ac:dyDescent="0.3"/>
    <row r="489" customFormat="1" x14ac:dyDescent="0.3"/>
    <row r="490" customFormat="1" x14ac:dyDescent="0.3"/>
    <row r="491" customFormat="1" x14ac:dyDescent="0.3"/>
    <row r="492" customFormat="1" x14ac:dyDescent="0.3"/>
    <row r="493" customFormat="1" x14ac:dyDescent="0.3"/>
    <row r="494" customFormat="1" x14ac:dyDescent="0.3"/>
    <row r="495" customFormat="1" x14ac:dyDescent="0.3"/>
    <row r="496" customFormat="1" x14ac:dyDescent="0.3"/>
    <row r="497" customFormat="1" x14ac:dyDescent="0.3"/>
    <row r="498" customFormat="1" x14ac:dyDescent="0.3"/>
    <row r="499" customFormat="1" x14ac:dyDescent="0.3"/>
    <row r="500" customFormat="1" x14ac:dyDescent="0.3"/>
    <row r="501" customFormat="1" x14ac:dyDescent="0.3"/>
    <row r="502" customFormat="1" x14ac:dyDescent="0.3"/>
    <row r="503" customFormat="1" x14ac:dyDescent="0.3"/>
    <row r="504" customFormat="1" x14ac:dyDescent="0.3"/>
    <row r="505" customFormat="1" x14ac:dyDescent="0.3"/>
    <row r="506" customFormat="1" x14ac:dyDescent="0.3"/>
    <row r="507" customFormat="1" x14ac:dyDescent="0.3"/>
    <row r="508" customFormat="1" x14ac:dyDescent="0.3"/>
    <row r="509" customFormat="1" x14ac:dyDescent="0.3"/>
    <row r="510" customFormat="1" x14ac:dyDescent="0.3"/>
    <row r="511" customFormat="1" x14ac:dyDescent="0.3"/>
    <row r="512" customFormat="1" x14ac:dyDescent="0.3"/>
    <row r="513" customFormat="1" x14ac:dyDescent="0.3"/>
    <row r="514" customFormat="1" x14ac:dyDescent="0.3"/>
    <row r="515" customFormat="1" x14ac:dyDescent="0.3"/>
    <row r="516" customFormat="1" x14ac:dyDescent="0.3"/>
    <row r="517" customFormat="1" x14ac:dyDescent="0.3"/>
    <row r="518" customFormat="1" x14ac:dyDescent="0.3"/>
    <row r="519" customFormat="1" x14ac:dyDescent="0.3"/>
    <row r="520" customFormat="1" x14ac:dyDescent="0.3"/>
    <row r="521" customFormat="1" x14ac:dyDescent="0.3"/>
    <row r="522" customFormat="1" x14ac:dyDescent="0.3"/>
    <row r="523" customFormat="1" x14ac:dyDescent="0.3"/>
    <row r="524" customFormat="1" x14ac:dyDescent="0.3"/>
    <row r="525" customFormat="1" x14ac:dyDescent="0.3"/>
    <row r="526" customFormat="1" x14ac:dyDescent="0.3"/>
    <row r="527" customFormat="1" x14ac:dyDescent="0.3"/>
    <row r="528" customFormat="1" x14ac:dyDescent="0.3"/>
    <row r="529" customFormat="1" x14ac:dyDescent="0.3"/>
    <row r="530" customFormat="1" x14ac:dyDescent="0.3"/>
    <row r="531" customFormat="1" x14ac:dyDescent="0.3"/>
    <row r="532" customFormat="1" x14ac:dyDescent="0.3"/>
    <row r="533" customFormat="1" x14ac:dyDescent="0.3"/>
    <row r="534" customFormat="1" x14ac:dyDescent="0.3"/>
    <row r="535" customFormat="1" x14ac:dyDescent="0.3"/>
    <row r="536" customFormat="1" x14ac:dyDescent="0.3"/>
    <row r="537" customFormat="1" x14ac:dyDescent="0.3"/>
    <row r="538" customFormat="1" x14ac:dyDescent="0.3"/>
    <row r="539" customFormat="1" x14ac:dyDescent="0.3"/>
    <row r="540" customFormat="1" x14ac:dyDescent="0.3"/>
    <row r="541" customFormat="1" x14ac:dyDescent="0.3"/>
    <row r="542" customFormat="1" x14ac:dyDescent="0.3"/>
    <row r="543" customFormat="1" x14ac:dyDescent="0.3"/>
    <row r="544" customFormat="1" x14ac:dyDescent="0.3"/>
    <row r="545" customFormat="1" x14ac:dyDescent="0.3"/>
    <row r="546" customFormat="1" x14ac:dyDescent="0.3"/>
    <row r="547" customFormat="1" x14ac:dyDescent="0.3"/>
    <row r="548" customFormat="1" x14ac:dyDescent="0.3"/>
    <row r="549" customFormat="1" x14ac:dyDescent="0.3"/>
    <row r="550" customFormat="1" x14ac:dyDescent="0.3"/>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BAA6CF-87C2-4316-893E-3CEEAF031EB0}">
  <sheetPr codeName="Sheet6">
    <tabColor rgb="FFFF4343"/>
  </sheetPr>
  <dimension ref="A1:W2"/>
  <sheetViews>
    <sheetView zoomScale="70" zoomScaleNormal="70" workbookViewId="0">
      <selection activeCell="A2" sqref="A2:U2527"/>
    </sheetView>
  </sheetViews>
  <sheetFormatPr defaultRowHeight="14.4" x14ac:dyDescent="0.3"/>
  <cols>
    <col min="1" max="1" width="16.77734375" style="33" customWidth="1"/>
    <col min="2" max="2" width="53.33203125" style="31" customWidth="1"/>
    <col min="3" max="3" width="16.88671875" style="33" customWidth="1"/>
    <col min="4" max="4" width="17.5546875" style="33" bestFit="1" customWidth="1"/>
    <col min="5" max="5" width="18.44140625" style="46" bestFit="1" customWidth="1"/>
    <col min="6" max="6" width="18.44140625" style="46" customWidth="1"/>
    <col min="7" max="7" width="18.44140625" style="60" customWidth="1"/>
    <col min="8" max="8" width="18.44140625" style="42" customWidth="1"/>
    <col min="9" max="9" width="28.109375" style="37" customWidth="1"/>
    <col min="10" max="10" width="28.109375" style="42" customWidth="1"/>
    <col min="11" max="16" width="26.33203125" style="37" customWidth="1"/>
    <col min="17" max="18" width="26.33203125" style="42" customWidth="1"/>
    <col min="19" max="19" width="13.6640625" style="33" customWidth="1"/>
    <col min="20" max="20" width="15.44140625" style="33" bestFit="1" customWidth="1"/>
    <col min="21" max="21" width="35.21875" style="57" bestFit="1" customWidth="1"/>
  </cols>
  <sheetData>
    <row r="1" spans="1:23" ht="18" x14ac:dyDescent="0.4">
      <c r="A1" s="8" t="s">
        <v>70</v>
      </c>
      <c r="B1" s="47" t="s">
        <v>71</v>
      </c>
      <c r="C1" s="8" t="s">
        <v>21</v>
      </c>
      <c r="D1" s="8" t="s">
        <v>72</v>
      </c>
      <c r="E1" s="7" t="s">
        <v>73</v>
      </c>
      <c r="F1" s="7" t="s">
        <v>84</v>
      </c>
      <c r="G1" s="59" t="s">
        <v>85</v>
      </c>
      <c r="H1" s="50" t="s">
        <v>86</v>
      </c>
      <c r="I1" s="49" t="s">
        <v>74</v>
      </c>
      <c r="J1" s="50" t="s">
        <v>75</v>
      </c>
      <c r="K1" s="51" t="s">
        <v>31</v>
      </c>
      <c r="L1" s="51" t="s">
        <v>38</v>
      </c>
      <c r="M1" s="52" t="s">
        <v>43</v>
      </c>
      <c r="N1" s="51" t="s">
        <v>76</v>
      </c>
      <c r="O1" s="51" t="s">
        <v>77</v>
      </c>
      <c r="P1" s="52" t="s">
        <v>78</v>
      </c>
      <c r="Q1" s="53" t="s">
        <v>79</v>
      </c>
      <c r="R1" s="54" t="s">
        <v>80</v>
      </c>
      <c r="S1" s="55" t="s">
        <v>81</v>
      </c>
      <c r="T1" s="55" t="s">
        <v>82</v>
      </c>
      <c r="U1" s="58" t="s">
        <v>83</v>
      </c>
    </row>
    <row r="2" spans="1:23" x14ac:dyDescent="0.3">
      <c r="W2" s="32"/>
    </row>
  </sheetData>
  <autoFilter ref="A1:U11833" xr:uid="{A4BAA6CF-87C2-4316-893E-3CEEAF031EB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D0B6EF-DE55-4D1E-8BBF-D792EDD41BBF}">
  <sheetPr codeName="Sheet7">
    <tabColor rgb="FFFF6600"/>
  </sheetPr>
  <dimension ref="A1:L476"/>
  <sheetViews>
    <sheetView zoomScale="70" zoomScaleNormal="70" workbookViewId="0">
      <selection activeCell="F2" sqref="F2:F475"/>
    </sheetView>
  </sheetViews>
  <sheetFormatPr defaultRowHeight="16.8" x14ac:dyDescent="0.3"/>
  <cols>
    <col min="1" max="1" width="22.6640625" style="62" customWidth="1"/>
    <col min="2" max="2" width="86.88671875" style="66" bestFit="1" customWidth="1"/>
    <col min="3" max="3" width="21.109375" style="62" bestFit="1" customWidth="1"/>
    <col min="4" max="4" width="32.6640625" style="62" bestFit="1" customWidth="1"/>
    <col min="5" max="5" width="18.21875" style="62" bestFit="1" customWidth="1"/>
    <col min="6" max="6" width="20.21875" style="62" bestFit="1" customWidth="1"/>
    <col min="7" max="7" width="16.5546875" style="69" bestFit="1" customWidth="1"/>
    <col min="8" max="9" width="22.6640625" style="69" bestFit="1" customWidth="1"/>
    <col min="10" max="10" width="20" style="67" customWidth="1"/>
    <col min="11" max="11" width="19.109375" style="67" customWidth="1"/>
    <col min="12" max="12" width="17.21875" style="62" bestFit="1" customWidth="1"/>
    <col min="13" max="16384" width="8.88671875" style="62"/>
  </cols>
  <sheetData>
    <row r="1" spans="1:12" ht="49.8" customHeight="1" x14ac:dyDescent="0.3">
      <c r="A1" s="61" t="s">
        <v>70</v>
      </c>
      <c r="B1" s="61" t="s">
        <v>71</v>
      </c>
      <c r="C1" s="61" t="s">
        <v>73</v>
      </c>
      <c r="D1" s="61" t="s">
        <v>91</v>
      </c>
      <c r="E1" s="61" t="s">
        <v>84</v>
      </c>
      <c r="F1" s="61" t="s">
        <v>92</v>
      </c>
      <c r="G1" s="68" t="s">
        <v>88</v>
      </c>
      <c r="H1" s="68" t="s">
        <v>89</v>
      </c>
      <c r="I1" s="68" t="s">
        <v>90</v>
      </c>
      <c r="J1" s="53" t="s">
        <v>93</v>
      </c>
      <c r="K1" s="53" t="s">
        <v>94</v>
      </c>
      <c r="L1" s="77" t="s">
        <v>95</v>
      </c>
    </row>
    <row r="2" spans="1:12" x14ac:dyDescent="0.3">
      <c r="A2" s="63" t="s">
        <v>176</v>
      </c>
      <c r="B2" s="62" t="s">
        <v>176</v>
      </c>
      <c r="C2" s="62" t="s">
        <v>176</v>
      </c>
      <c r="D2" s="64" t="s">
        <v>176</v>
      </c>
      <c r="E2" s="62" t="s">
        <v>176</v>
      </c>
      <c r="F2" s="65" t="s">
        <v>176</v>
      </c>
      <c r="L2" s="64"/>
    </row>
    <row r="3" spans="1:12" x14ac:dyDescent="0.3">
      <c r="A3"/>
      <c r="B3"/>
      <c r="C3"/>
      <c r="D3"/>
      <c r="E3"/>
      <c r="F3"/>
      <c r="G3"/>
      <c r="H3"/>
      <c r="I3"/>
      <c r="L3" s="64"/>
    </row>
    <row r="4" spans="1:12" x14ac:dyDescent="0.3">
      <c r="A4"/>
      <c r="B4"/>
      <c r="C4"/>
      <c r="D4"/>
      <c r="E4"/>
      <c r="F4"/>
      <c r="G4"/>
      <c r="H4"/>
      <c r="I4"/>
      <c r="L4" s="64"/>
    </row>
    <row r="5" spans="1:12" x14ac:dyDescent="0.3">
      <c r="A5"/>
      <c r="B5"/>
      <c r="C5"/>
      <c r="D5"/>
      <c r="E5"/>
      <c r="F5"/>
      <c r="G5"/>
      <c r="H5"/>
      <c r="I5"/>
      <c r="L5" s="64"/>
    </row>
    <row r="6" spans="1:12" x14ac:dyDescent="0.3">
      <c r="A6"/>
      <c r="B6"/>
      <c r="C6"/>
      <c r="D6"/>
      <c r="E6"/>
      <c r="F6"/>
      <c r="G6"/>
      <c r="H6"/>
      <c r="I6"/>
      <c r="L6" s="64"/>
    </row>
    <row r="7" spans="1:12" x14ac:dyDescent="0.3">
      <c r="A7"/>
      <c r="B7"/>
      <c r="C7"/>
      <c r="D7"/>
      <c r="E7"/>
      <c r="F7"/>
      <c r="G7"/>
      <c r="H7"/>
      <c r="I7"/>
      <c r="L7" s="64"/>
    </row>
    <row r="8" spans="1:12" x14ac:dyDescent="0.3">
      <c r="A8"/>
      <c r="B8"/>
      <c r="C8"/>
      <c r="D8"/>
      <c r="E8"/>
      <c r="F8"/>
      <c r="G8"/>
      <c r="H8"/>
      <c r="I8"/>
      <c r="L8" s="64"/>
    </row>
    <row r="9" spans="1:12" x14ac:dyDescent="0.3">
      <c r="A9"/>
      <c r="B9"/>
      <c r="C9"/>
      <c r="D9"/>
      <c r="E9"/>
      <c r="F9"/>
      <c r="G9"/>
      <c r="H9"/>
      <c r="I9"/>
      <c r="L9" s="64"/>
    </row>
    <row r="10" spans="1:12" x14ac:dyDescent="0.3">
      <c r="A10"/>
      <c r="B10"/>
      <c r="C10"/>
      <c r="D10"/>
      <c r="E10"/>
      <c r="F10"/>
      <c r="G10"/>
      <c r="H10"/>
      <c r="I10"/>
      <c r="L10" s="64"/>
    </row>
    <row r="11" spans="1:12" x14ac:dyDescent="0.3">
      <c r="A11"/>
      <c r="B11"/>
      <c r="C11"/>
      <c r="D11"/>
      <c r="E11"/>
      <c r="F11"/>
      <c r="G11"/>
      <c r="H11"/>
      <c r="I11"/>
      <c r="L11" s="64"/>
    </row>
    <row r="12" spans="1:12" x14ac:dyDescent="0.3">
      <c r="A12"/>
      <c r="B12"/>
      <c r="C12"/>
      <c r="D12"/>
      <c r="E12"/>
      <c r="F12"/>
      <c r="G12"/>
      <c r="H12"/>
      <c r="I12"/>
      <c r="L12" s="64"/>
    </row>
    <row r="13" spans="1:12" x14ac:dyDescent="0.3">
      <c r="A13"/>
      <c r="B13"/>
      <c r="C13"/>
      <c r="D13"/>
      <c r="E13"/>
      <c r="F13"/>
      <c r="G13"/>
      <c r="H13"/>
      <c r="I13"/>
      <c r="L13" s="64"/>
    </row>
    <row r="14" spans="1:12" x14ac:dyDescent="0.3">
      <c r="A14"/>
      <c r="B14"/>
      <c r="C14"/>
      <c r="D14"/>
      <c r="E14"/>
      <c r="F14"/>
      <c r="G14"/>
      <c r="H14"/>
      <c r="I14"/>
      <c r="L14" s="64"/>
    </row>
    <row r="15" spans="1:12" x14ac:dyDescent="0.3">
      <c r="A15"/>
      <c r="B15"/>
      <c r="C15"/>
      <c r="D15"/>
      <c r="E15"/>
      <c r="F15"/>
      <c r="G15"/>
      <c r="H15"/>
      <c r="I15"/>
      <c r="L15" s="64"/>
    </row>
    <row r="16" spans="1:12" x14ac:dyDescent="0.3">
      <c r="A16"/>
      <c r="B16"/>
      <c r="C16"/>
      <c r="D16"/>
      <c r="E16"/>
      <c r="F16"/>
      <c r="G16"/>
      <c r="H16"/>
      <c r="I16"/>
      <c r="L16" s="64"/>
    </row>
    <row r="17" spans="1:12" x14ac:dyDescent="0.3">
      <c r="A17"/>
      <c r="B17"/>
      <c r="C17"/>
      <c r="D17"/>
      <c r="E17"/>
      <c r="F17"/>
      <c r="G17"/>
      <c r="H17"/>
      <c r="I17"/>
      <c r="L17" s="64"/>
    </row>
    <row r="18" spans="1:12" x14ac:dyDescent="0.3">
      <c r="A18"/>
      <c r="B18"/>
      <c r="C18"/>
      <c r="D18"/>
      <c r="E18"/>
      <c r="F18"/>
      <c r="G18"/>
      <c r="H18"/>
      <c r="I18"/>
      <c r="L18" s="64"/>
    </row>
    <row r="19" spans="1:12" x14ac:dyDescent="0.3">
      <c r="A19"/>
      <c r="B19"/>
      <c r="C19"/>
      <c r="D19"/>
      <c r="E19"/>
      <c r="F19"/>
      <c r="G19"/>
      <c r="H19"/>
      <c r="I19"/>
      <c r="L19" s="64"/>
    </row>
    <row r="20" spans="1:12" x14ac:dyDescent="0.3">
      <c r="A20"/>
      <c r="B20"/>
      <c r="C20"/>
      <c r="D20"/>
      <c r="E20"/>
      <c r="F20"/>
      <c r="G20"/>
      <c r="H20"/>
      <c r="I20"/>
      <c r="L20" s="64"/>
    </row>
    <row r="21" spans="1:12" x14ac:dyDescent="0.3">
      <c r="A21"/>
      <c r="B21"/>
      <c r="C21"/>
      <c r="D21"/>
      <c r="E21"/>
      <c r="F21"/>
      <c r="G21"/>
      <c r="H21"/>
      <c r="I21"/>
      <c r="L21" s="64"/>
    </row>
    <row r="22" spans="1:12" x14ac:dyDescent="0.3">
      <c r="A22"/>
      <c r="B22"/>
      <c r="C22"/>
      <c r="D22"/>
      <c r="E22"/>
      <c r="F22"/>
      <c r="G22"/>
      <c r="H22"/>
      <c r="I22"/>
      <c r="L22" s="64"/>
    </row>
    <row r="23" spans="1:12" x14ac:dyDescent="0.3">
      <c r="A23"/>
      <c r="B23"/>
      <c r="C23"/>
      <c r="D23"/>
      <c r="E23"/>
      <c r="F23"/>
      <c r="G23"/>
      <c r="H23"/>
      <c r="I23"/>
      <c r="L23" s="64"/>
    </row>
    <row r="24" spans="1:12" x14ac:dyDescent="0.3">
      <c r="A24"/>
      <c r="B24"/>
      <c r="C24"/>
      <c r="D24"/>
      <c r="E24"/>
      <c r="F24"/>
      <c r="G24"/>
      <c r="H24"/>
      <c r="I24"/>
      <c r="L24" s="64"/>
    </row>
    <row r="25" spans="1:12" x14ac:dyDescent="0.3">
      <c r="A25"/>
      <c r="B25"/>
      <c r="C25"/>
      <c r="D25"/>
      <c r="E25"/>
      <c r="F25"/>
      <c r="G25"/>
      <c r="H25"/>
      <c r="I25"/>
      <c r="L25" s="64"/>
    </row>
    <row r="26" spans="1:12" x14ac:dyDescent="0.3">
      <c r="A26"/>
      <c r="B26"/>
      <c r="C26"/>
      <c r="D26"/>
      <c r="E26"/>
      <c r="F26"/>
      <c r="G26"/>
      <c r="H26"/>
      <c r="I26"/>
      <c r="L26" s="64"/>
    </row>
    <row r="27" spans="1:12" x14ac:dyDescent="0.3">
      <c r="A27"/>
      <c r="B27"/>
      <c r="C27"/>
      <c r="D27"/>
      <c r="E27"/>
      <c r="F27"/>
      <c r="G27"/>
      <c r="H27"/>
      <c r="I27"/>
      <c r="L27" s="64"/>
    </row>
    <row r="28" spans="1:12" x14ac:dyDescent="0.3">
      <c r="A28"/>
      <c r="B28"/>
      <c r="C28"/>
      <c r="D28"/>
      <c r="E28"/>
      <c r="F28"/>
      <c r="G28"/>
      <c r="H28"/>
      <c r="I28"/>
      <c r="L28" s="64"/>
    </row>
    <row r="29" spans="1:12" x14ac:dyDescent="0.3">
      <c r="A29"/>
      <c r="B29"/>
      <c r="C29"/>
      <c r="D29"/>
      <c r="E29"/>
      <c r="F29"/>
      <c r="G29"/>
      <c r="H29"/>
      <c r="I29"/>
      <c r="L29" s="64"/>
    </row>
    <row r="30" spans="1:12" x14ac:dyDescent="0.3">
      <c r="A30"/>
      <c r="B30"/>
      <c r="C30"/>
      <c r="D30"/>
      <c r="E30"/>
      <c r="F30"/>
      <c r="G30"/>
      <c r="H30"/>
      <c r="I30"/>
      <c r="L30" s="64"/>
    </row>
    <row r="31" spans="1:12" x14ac:dyDescent="0.3">
      <c r="A31"/>
      <c r="B31"/>
      <c r="C31"/>
      <c r="D31"/>
      <c r="E31"/>
      <c r="F31"/>
      <c r="G31"/>
      <c r="H31"/>
      <c r="I31"/>
      <c r="L31" s="64"/>
    </row>
    <row r="32" spans="1:12" x14ac:dyDescent="0.3">
      <c r="A32"/>
      <c r="B32"/>
      <c r="C32"/>
      <c r="D32"/>
      <c r="E32"/>
      <c r="F32"/>
      <c r="G32"/>
      <c r="H32"/>
      <c r="I32"/>
      <c r="L32" s="64"/>
    </row>
    <row r="33" spans="1:12" x14ac:dyDescent="0.3">
      <c r="A33"/>
      <c r="B33"/>
      <c r="C33"/>
      <c r="D33"/>
      <c r="E33"/>
      <c r="F33"/>
      <c r="G33"/>
      <c r="H33"/>
      <c r="I33"/>
      <c r="L33" s="64"/>
    </row>
    <row r="34" spans="1:12" x14ac:dyDescent="0.3">
      <c r="A34"/>
      <c r="B34"/>
      <c r="C34"/>
      <c r="D34"/>
      <c r="E34"/>
      <c r="F34"/>
      <c r="G34"/>
      <c r="H34"/>
      <c r="I34"/>
      <c r="L34" s="64"/>
    </row>
    <row r="35" spans="1:12" x14ac:dyDescent="0.3">
      <c r="A35"/>
      <c r="B35"/>
      <c r="C35"/>
      <c r="D35"/>
      <c r="E35"/>
      <c r="F35"/>
      <c r="G35"/>
      <c r="H35"/>
      <c r="I35"/>
      <c r="L35" s="64"/>
    </row>
    <row r="36" spans="1:12" x14ac:dyDescent="0.3">
      <c r="A36"/>
      <c r="B36"/>
      <c r="C36"/>
      <c r="D36"/>
      <c r="E36"/>
      <c r="F36"/>
      <c r="G36"/>
      <c r="H36"/>
      <c r="I36"/>
      <c r="L36" s="64"/>
    </row>
    <row r="37" spans="1:12" x14ac:dyDescent="0.3">
      <c r="A37"/>
      <c r="B37"/>
      <c r="C37"/>
      <c r="D37"/>
      <c r="E37"/>
      <c r="F37"/>
      <c r="G37"/>
      <c r="H37"/>
      <c r="I37"/>
      <c r="L37" s="64"/>
    </row>
    <row r="38" spans="1:12" x14ac:dyDescent="0.3">
      <c r="A38"/>
      <c r="B38"/>
      <c r="C38"/>
      <c r="D38"/>
      <c r="E38"/>
      <c r="F38"/>
      <c r="G38"/>
      <c r="H38"/>
      <c r="I38"/>
      <c r="L38" s="64"/>
    </row>
    <row r="39" spans="1:12" x14ac:dyDescent="0.3">
      <c r="A39"/>
      <c r="B39"/>
      <c r="C39"/>
      <c r="D39"/>
      <c r="E39"/>
      <c r="F39"/>
      <c r="G39"/>
      <c r="H39"/>
      <c r="I39"/>
      <c r="L39" s="64"/>
    </row>
    <row r="40" spans="1:12" x14ac:dyDescent="0.3">
      <c r="A40"/>
      <c r="B40"/>
      <c r="C40"/>
      <c r="D40"/>
      <c r="E40"/>
      <c r="F40"/>
      <c r="G40"/>
      <c r="H40"/>
      <c r="I40"/>
      <c r="L40" s="64"/>
    </row>
    <row r="41" spans="1:12" x14ac:dyDescent="0.3">
      <c r="A41"/>
      <c r="B41"/>
      <c r="C41"/>
      <c r="D41"/>
      <c r="E41"/>
      <c r="F41"/>
      <c r="G41"/>
      <c r="H41"/>
      <c r="I41"/>
      <c r="L41" s="64"/>
    </row>
    <row r="42" spans="1:12" x14ac:dyDescent="0.3">
      <c r="A42"/>
      <c r="B42"/>
      <c r="C42"/>
      <c r="D42"/>
      <c r="E42"/>
      <c r="F42"/>
      <c r="G42"/>
      <c r="H42"/>
      <c r="I42"/>
      <c r="L42" s="64"/>
    </row>
    <row r="43" spans="1:12" x14ac:dyDescent="0.3">
      <c r="A43"/>
      <c r="B43"/>
      <c r="C43"/>
      <c r="D43"/>
      <c r="E43"/>
      <c r="F43"/>
      <c r="G43"/>
      <c r="H43"/>
      <c r="I43"/>
      <c r="L43" s="64"/>
    </row>
    <row r="44" spans="1:12" x14ac:dyDescent="0.3">
      <c r="A44"/>
      <c r="B44"/>
      <c r="C44"/>
      <c r="D44"/>
      <c r="E44"/>
      <c r="F44"/>
      <c r="G44"/>
      <c r="H44"/>
      <c r="I44"/>
      <c r="L44" s="64"/>
    </row>
    <row r="45" spans="1:12" x14ac:dyDescent="0.3">
      <c r="A45"/>
      <c r="B45"/>
      <c r="C45"/>
      <c r="D45"/>
      <c r="E45"/>
      <c r="F45"/>
      <c r="G45"/>
      <c r="H45"/>
      <c r="I45"/>
      <c r="L45" s="64"/>
    </row>
    <row r="46" spans="1:12" x14ac:dyDescent="0.3">
      <c r="A46"/>
      <c r="B46"/>
      <c r="C46"/>
      <c r="D46"/>
      <c r="E46"/>
      <c r="F46"/>
      <c r="G46"/>
      <c r="H46"/>
      <c r="I46"/>
      <c r="L46" s="64"/>
    </row>
    <row r="47" spans="1:12" x14ac:dyDescent="0.3">
      <c r="A47"/>
      <c r="B47"/>
      <c r="C47"/>
      <c r="D47"/>
      <c r="E47"/>
      <c r="F47"/>
      <c r="G47"/>
      <c r="H47"/>
      <c r="I47"/>
      <c r="L47" s="64"/>
    </row>
    <row r="48" spans="1:12" x14ac:dyDescent="0.3">
      <c r="A48"/>
      <c r="B48"/>
      <c r="C48"/>
      <c r="D48"/>
      <c r="E48"/>
      <c r="F48"/>
      <c r="G48"/>
      <c r="H48"/>
      <c r="I48"/>
      <c r="L48" s="64"/>
    </row>
    <row r="49" spans="1:12" x14ac:dyDescent="0.3">
      <c r="A49"/>
      <c r="B49"/>
      <c r="C49"/>
      <c r="D49"/>
      <c r="E49"/>
      <c r="F49"/>
      <c r="G49"/>
      <c r="H49"/>
      <c r="I49"/>
      <c r="L49" s="64"/>
    </row>
    <row r="50" spans="1:12" x14ac:dyDescent="0.3">
      <c r="A50"/>
      <c r="B50"/>
      <c r="C50"/>
      <c r="D50"/>
      <c r="E50"/>
      <c r="F50"/>
      <c r="G50"/>
      <c r="H50"/>
      <c r="I50"/>
      <c r="L50" s="64"/>
    </row>
    <row r="51" spans="1:12" x14ac:dyDescent="0.3">
      <c r="A51"/>
      <c r="B51"/>
      <c r="C51"/>
      <c r="D51"/>
      <c r="E51"/>
      <c r="F51"/>
      <c r="G51"/>
      <c r="H51"/>
      <c r="I51"/>
      <c r="L51" s="64"/>
    </row>
    <row r="52" spans="1:12" x14ac:dyDescent="0.3">
      <c r="A52"/>
      <c r="B52"/>
      <c r="C52"/>
      <c r="D52"/>
      <c r="E52"/>
      <c r="F52"/>
      <c r="G52"/>
      <c r="H52"/>
      <c r="I52"/>
      <c r="L52" s="64"/>
    </row>
    <row r="53" spans="1:12" x14ac:dyDescent="0.3">
      <c r="A53"/>
      <c r="B53"/>
      <c r="C53"/>
      <c r="D53"/>
      <c r="E53"/>
      <c r="F53"/>
      <c r="G53"/>
      <c r="H53"/>
      <c r="I53"/>
      <c r="L53" s="64"/>
    </row>
    <row r="54" spans="1:12" x14ac:dyDescent="0.3">
      <c r="A54"/>
      <c r="B54"/>
      <c r="C54"/>
      <c r="D54"/>
      <c r="E54"/>
      <c r="F54"/>
      <c r="G54"/>
      <c r="H54"/>
      <c r="I54"/>
      <c r="L54" s="64"/>
    </row>
    <row r="55" spans="1:12" x14ac:dyDescent="0.3">
      <c r="A55"/>
      <c r="B55"/>
      <c r="C55"/>
      <c r="D55"/>
      <c r="E55"/>
      <c r="F55"/>
      <c r="G55"/>
      <c r="H55"/>
      <c r="I55"/>
      <c r="L55" s="64"/>
    </row>
    <row r="56" spans="1:12" x14ac:dyDescent="0.3">
      <c r="A56"/>
      <c r="B56"/>
      <c r="C56"/>
      <c r="D56"/>
      <c r="E56"/>
      <c r="F56"/>
      <c r="G56"/>
      <c r="H56"/>
      <c r="I56"/>
      <c r="L56" s="64"/>
    </row>
    <row r="57" spans="1:12" x14ac:dyDescent="0.3">
      <c r="A57"/>
      <c r="B57"/>
      <c r="C57"/>
      <c r="D57"/>
      <c r="E57"/>
      <c r="F57"/>
      <c r="G57"/>
      <c r="H57"/>
      <c r="I57"/>
      <c r="L57" s="64"/>
    </row>
    <row r="58" spans="1:12" x14ac:dyDescent="0.3">
      <c r="A58"/>
      <c r="B58"/>
      <c r="C58"/>
      <c r="D58"/>
      <c r="E58"/>
      <c r="F58"/>
      <c r="G58"/>
      <c r="H58"/>
      <c r="I58"/>
      <c r="L58" s="64"/>
    </row>
    <row r="59" spans="1:12" x14ac:dyDescent="0.3">
      <c r="A59"/>
      <c r="B59"/>
      <c r="C59"/>
      <c r="D59"/>
      <c r="E59"/>
      <c r="F59"/>
      <c r="G59"/>
      <c r="H59"/>
      <c r="I59"/>
      <c r="L59" s="64"/>
    </row>
    <row r="60" spans="1:12" x14ac:dyDescent="0.3">
      <c r="A60"/>
      <c r="B60"/>
      <c r="C60"/>
      <c r="D60"/>
      <c r="E60"/>
      <c r="F60"/>
      <c r="G60"/>
      <c r="H60"/>
      <c r="I60"/>
      <c r="L60" s="64"/>
    </row>
    <row r="61" spans="1:12" x14ac:dyDescent="0.3">
      <c r="A61"/>
      <c r="B61"/>
      <c r="C61"/>
      <c r="D61"/>
      <c r="E61"/>
      <c r="F61"/>
      <c r="G61"/>
      <c r="H61"/>
      <c r="I61"/>
      <c r="L61" s="64"/>
    </row>
    <row r="62" spans="1:12" x14ac:dyDescent="0.3">
      <c r="A62"/>
      <c r="B62"/>
      <c r="C62"/>
      <c r="D62"/>
      <c r="E62"/>
      <c r="F62"/>
      <c r="G62"/>
      <c r="H62"/>
      <c r="I62"/>
      <c r="L62" s="64"/>
    </row>
    <row r="63" spans="1:12" x14ac:dyDescent="0.3">
      <c r="A63"/>
      <c r="B63"/>
      <c r="C63"/>
      <c r="D63"/>
      <c r="E63"/>
      <c r="F63"/>
      <c r="G63"/>
      <c r="H63"/>
      <c r="I63"/>
      <c r="L63" s="64"/>
    </row>
    <row r="64" spans="1:12" x14ac:dyDescent="0.3">
      <c r="A64"/>
      <c r="B64"/>
      <c r="C64"/>
      <c r="D64"/>
      <c r="E64"/>
      <c r="F64"/>
      <c r="G64"/>
      <c r="H64"/>
      <c r="I64"/>
      <c r="L64" s="64"/>
    </row>
    <row r="65" spans="1:12" x14ac:dyDescent="0.3">
      <c r="A65"/>
      <c r="B65"/>
      <c r="C65"/>
      <c r="D65"/>
      <c r="E65"/>
      <c r="F65"/>
      <c r="G65"/>
      <c r="H65"/>
      <c r="I65"/>
      <c r="L65" s="64"/>
    </row>
    <row r="66" spans="1:12" x14ac:dyDescent="0.3">
      <c r="A66"/>
      <c r="B66"/>
      <c r="C66"/>
      <c r="D66"/>
      <c r="E66"/>
      <c r="F66"/>
      <c r="G66"/>
      <c r="H66"/>
      <c r="I66"/>
      <c r="L66" s="64"/>
    </row>
    <row r="67" spans="1:12" x14ac:dyDescent="0.3">
      <c r="A67"/>
      <c r="B67"/>
      <c r="C67"/>
      <c r="D67"/>
      <c r="E67"/>
      <c r="F67"/>
      <c r="G67"/>
      <c r="H67"/>
      <c r="I67"/>
      <c r="L67" s="64"/>
    </row>
    <row r="68" spans="1:12" x14ac:dyDescent="0.3">
      <c r="A68"/>
      <c r="B68"/>
      <c r="C68"/>
      <c r="D68"/>
      <c r="E68"/>
      <c r="F68"/>
      <c r="G68"/>
      <c r="H68"/>
      <c r="I68"/>
      <c r="L68" s="64"/>
    </row>
    <row r="69" spans="1:12" x14ac:dyDescent="0.3">
      <c r="A69"/>
      <c r="B69"/>
      <c r="C69"/>
      <c r="D69"/>
      <c r="E69"/>
      <c r="F69"/>
      <c r="G69"/>
      <c r="H69"/>
      <c r="I69"/>
      <c r="L69" s="64"/>
    </row>
    <row r="70" spans="1:12" x14ac:dyDescent="0.3">
      <c r="A70"/>
      <c r="B70"/>
      <c r="C70"/>
      <c r="D70"/>
      <c r="E70"/>
      <c r="F70"/>
      <c r="G70"/>
      <c r="H70"/>
      <c r="I70"/>
      <c r="L70" s="64"/>
    </row>
    <row r="71" spans="1:12" x14ac:dyDescent="0.3">
      <c r="A71"/>
      <c r="B71"/>
      <c r="C71"/>
      <c r="D71"/>
      <c r="E71"/>
      <c r="F71"/>
      <c r="G71"/>
      <c r="H71"/>
      <c r="I71"/>
      <c r="L71" s="64"/>
    </row>
    <row r="72" spans="1:12" x14ac:dyDescent="0.3">
      <c r="A72"/>
      <c r="B72"/>
      <c r="C72"/>
      <c r="D72"/>
      <c r="E72"/>
      <c r="F72"/>
      <c r="G72"/>
      <c r="H72"/>
      <c r="I72"/>
      <c r="L72" s="64"/>
    </row>
    <row r="73" spans="1:12" x14ac:dyDescent="0.3">
      <c r="A73"/>
      <c r="B73"/>
      <c r="C73"/>
      <c r="D73"/>
      <c r="E73"/>
      <c r="F73"/>
      <c r="G73"/>
      <c r="H73"/>
      <c r="I73"/>
      <c r="L73" s="64"/>
    </row>
    <row r="74" spans="1:12" x14ac:dyDescent="0.3">
      <c r="A74"/>
      <c r="B74"/>
      <c r="C74"/>
      <c r="D74"/>
      <c r="E74"/>
      <c r="F74"/>
      <c r="G74"/>
      <c r="H74"/>
      <c r="I74"/>
      <c r="L74" s="64"/>
    </row>
    <row r="75" spans="1:12" x14ac:dyDescent="0.3">
      <c r="A75"/>
      <c r="B75"/>
      <c r="C75"/>
      <c r="D75"/>
      <c r="E75"/>
      <c r="F75"/>
      <c r="G75"/>
      <c r="H75"/>
      <c r="I75"/>
      <c r="L75" s="64"/>
    </row>
    <row r="76" spans="1:12" x14ac:dyDescent="0.3">
      <c r="A76"/>
      <c r="B76"/>
      <c r="C76"/>
      <c r="D76"/>
      <c r="E76"/>
      <c r="F76"/>
      <c r="G76"/>
      <c r="H76"/>
      <c r="I76"/>
      <c r="L76" s="64"/>
    </row>
    <row r="77" spans="1:12" x14ac:dyDescent="0.3">
      <c r="A77"/>
      <c r="B77"/>
      <c r="C77"/>
      <c r="D77"/>
      <c r="E77"/>
      <c r="F77"/>
      <c r="G77"/>
      <c r="H77"/>
      <c r="I77"/>
      <c r="L77" s="64"/>
    </row>
    <row r="78" spans="1:12" x14ac:dyDescent="0.3">
      <c r="A78"/>
      <c r="B78"/>
      <c r="C78"/>
      <c r="D78"/>
      <c r="E78"/>
      <c r="F78"/>
      <c r="G78"/>
      <c r="H78"/>
      <c r="I78"/>
      <c r="L78" s="64"/>
    </row>
    <row r="79" spans="1:12" x14ac:dyDescent="0.3">
      <c r="A79"/>
      <c r="B79"/>
      <c r="C79"/>
      <c r="D79"/>
      <c r="E79"/>
      <c r="F79"/>
      <c r="G79"/>
      <c r="H79"/>
      <c r="I79"/>
      <c r="L79" s="64"/>
    </row>
    <row r="80" spans="1:12" x14ac:dyDescent="0.3">
      <c r="A80"/>
      <c r="B80"/>
      <c r="C80"/>
      <c r="D80"/>
      <c r="E80"/>
      <c r="F80"/>
      <c r="G80"/>
      <c r="H80"/>
      <c r="I80"/>
      <c r="L80" s="64"/>
    </row>
    <row r="81" spans="1:12" x14ac:dyDescent="0.3">
      <c r="A81"/>
      <c r="B81"/>
      <c r="C81"/>
      <c r="D81"/>
      <c r="E81"/>
      <c r="F81"/>
      <c r="G81"/>
      <c r="H81"/>
      <c r="I81"/>
      <c r="L81" s="64"/>
    </row>
    <row r="82" spans="1:12" x14ac:dyDescent="0.3">
      <c r="A82"/>
      <c r="B82"/>
      <c r="C82"/>
      <c r="D82"/>
      <c r="E82"/>
      <c r="F82"/>
      <c r="G82"/>
      <c r="H82"/>
      <c r="I82"/>
      <c r="L82" s="64"/>
    </row>
    <row r="83" spans="1:12" x14ac:dyDescent="0.3">
      <c r="A83"/>
      <c r="B83"/>
      <c r="C83"/>
      <c r="D83"/>
      <c r="E83"/>
      <c r="F83"/>
      <c r="G83"/>
      <c r="H83"/>
      <c r="I83"/>
      <c r="L83" s="64"/>
    </row>
    <row r="84" spans="1:12" x14ac:dyDescent="0.3">
      <c r="A84"/>
      <c r="B84"/>
      <c r="C84"/>
      <c r="D84"/>
      <c r="E84"/>
      <c r="F84"/>
      <c r="G84"/>
      <c r="H84"/>
      <c r="I84"/>
      <c r="L84" s="64"/>
    </row>
    <row r="85" spans="1:12" x14ac:dyDescent="0.3">
      <c r="A85"/>
      <c r="B85"/>
      <c r="C85"/>
      <c r="D85"/>
      <c r="E85"/>
      <c r="F85"/>
      <c r="G85"/>
      <c r="H85"/>
      <c r="I85"/>
      <c r="L85" s="64"/>
    </row>
    <row r="86" spans="1:12" x14ac:dyDescent="0.3">
      <c r="A86"/>
      <c r="B86"/>
      <c r="C86"/>
      <c r="D86"/>
      <c r="E86"/>
      <c r="F86"/>
      <c r="G86"/>
      <c r="H86"/>
      <c r="I86"/>
      <c r="L86" s="64"/>
    </row>
    <row r="87" spans="1:12" x14ac:dyDescent="0.3">
      <c r="A87"/>
      <c r="B87"/>
      <c r="C87"/>
      <c r="D87"/>
      <c r="E87"/>
      <c r="F87"/>
      <c r="G87"/>
      <c r="H87"/>
      <c r="I87"/>
      <c r="L87" s="64"/>
    </row>
    <row r="88" spans="1:12" x14ac:dyDescent="0.3">
      <c r="A88"/>
      <c r="B88"/>
      <c r="C88"/>
      <c r="D88"/>
      <c r="E88"/>
      <c r="F88"/>
      <c r="G88"/>
      <c r="H88"/>
      <c r="I88"/>
      <c r="L88" s="64"/>
    </row>
    <row r="89" spans="1:12" x14ac:dyDescent="0.3">
      <c r="A89"/>
      <c r="B89"/>
      <c r="C89"/>
      <c r="D89"/>
      <c r="E89"/>
      <c r="F89"/>
      <c r="G89"/>
      <c r="H89"/>
      <c r="I89"/>
      <c r="L89" s="64"/>
    </row>
    <row r="90" spans="1:12" x14ac:dyDescent="0.3">
      <c r="A90"/>
      <c r="B90"/>
      <c r="C90"/>
      <c r="D90"/>
      <c r="E90"/>
      <c r="F90"/>
      <c r="G90"/>
      <c r="H90"/>
      <c r="I90"/>
      <c r="L90" s="64"/>
    </row>
    <row r="91" spans="1:12" x14ac:dyDescent="0.3">
      <c r="A91"/>
      <c r="B91"/>
      <c r="C91"/>
      <c r="D91"/>
      <c r="E91"/>
      <c r="F91"/>
      <c r="G91"/>
      <c r="H91"/>
      <c r="I91"/>
      <c r="L91" s="64"/>
    </row>
    <row r="92" spans="1:12" x14ac:dyDescent="0.3">
      <c r="A92"/>
      <c r="B92"/>
      <c r="C92"/>
      <c r="D92"/>
      <c r="E92"/>
      <c r="F92"/>
      <c r="G92"/>
      <c r="H92"/>
      <c r="I92"/>
      <c r="L92" s="64"/>
    </row>
    <row r="93" spans="1:12" x14ac:dyDescent="0.3">
      <c r="A93"/>
      <c r="B93"/>
      <c r="C93"/>
      <c r="D93"/>
      <c r="E93"/>
      <c r="F93"/>
      <c r="G93"/>
      <c r="H93"/>
      <c r="I93"/>
      <c r="L93" s="64"/>
    </row>
    <row r="94" spans="1:12" x14ac:dyDescent="0.3">
      <c r="A94"/>
      <c r="B94"/>
      <c r="C94"/>
      <c r="D94"/>
      <c r="E94"/>
      <c r="F94"/>
      <c r="G94"/>
      <c r="H94"/>
      <c r="I94"/>
      <c r="L94" s="64"/>
    </row>
    <row r="95" spans="1:12" x14ac:dyDescent="0.3">
      <c r="A95"/>
      <c r="B95"/>
      <c r="C95"/>
      <c r="D95"/>
      <c r="E95"/>
      <c r="F95"/>
      <c r="G95"/>
      <c r="H95"/>
      <c r="I95"/>
      <c r="L95" s="64"/>
    </row>
    <row r="96" spans="1:12" x14ac:dyDescent="0.3">
      <c r="A96"/>
      <c r="B96"/>
      <c r="C96"/>
      <c r="D96"/>
      <c r="E96"/>
      <c r="F96"/>
      <c r="G96"/>
      <c r="H96"/>
      <c r="I96"/>
      <c r="L96" s="64"/>
    </row>
    <row r="97" spans="1:12" x14ac:dyDescent="0.3">
      <c r="A97"/>
      <c r="B97"/>
      <c r="C97"/>
      <c r="D97"/>
      <c r="E97"/>
      <c r="F97"/>
      <c r="G97"/>
      <c r="H97"/>
      <c r="I97"/>
      <c r="L97" s="64"/>
    </row>
    <row r="98" spans="1:12" x14ac:dyDescent="0.3">
      <c r="A98"/>
      <c r="B98"/>
      <c r="C98"/>
      <c r="D98"/>
      <c r="E98"/>
      <c r="F98"/>
      <c r="G98"/>
      <c r="H98"/>
      <c r="I98"/>
      <c r="L98" s="64"/>
    </row>
    <row r="99" spans="1:12" x14ac:dyDescent="0.3">
      <c r="A99"/>
      <c r="B99"/>
      <c r="C99"/>
      <c r="D99"/>
      <c r="E99"/>
      <c r="F99"/>
      <c r="G99"/>
      <c r="H99"/>
      <c r="I99"/>
      <c r="L99" s="64"/>
    </row>
    <row r="100" spans="1:12" x14ac:dyDescent="0.3">
      <c r="A100"/>
      <c r="B100"/>
      <c r="C100"/>
      <c r="D100"/>
      <c r="E100"/>
      <c r="F100"/>
      <c r="G100"/>
      <c r="H100"/>
      <c r="I100"/>
      <c r="L100" s="64"/>
    </row>
    <row r="101" spans="1:12" x14ac:dyDescent="0.3">
      <c r="A101"/>
      <c r="B101"/>
      <c r="C101"/>
      <c r="D101"/>
      <c r="E101"/>
      <c r="F101"/>
      <c r="G101"/>
      <c r="H101"/>
      <c r="I101"/>
      <c r="L101" s="64"/>
    </row>
    <row r="102" spans="1:12" x14ac:dyDescent="0.3">
      <c r="A102"/>
      <c r="B102"/>
      <c r="C102"/>
      <c r="D102"/>
      <c r="E102"/>
      <c r="F102"/>
      <c r="G102"/>
      <c r="H102"/>
      <c r="I102"/>
      <c r="L102" s="64"/>
    </row>
    <row r="103" spans="1:12" x14ac:dyDescent="0.3">
      <c r="A103"/>
      <c r="B103"/>
      <c r="C103"/>
      <c r="D103"/>
      <c r="E103"/>
      <c r="F103"/>
      <c r="G103"/>
      <c r="H103"/>
      <c r="I103"/>
      <c r="L103" s="64"/>
    </row>
    <row r="104" spans="1:12" x14ac:dyDescent="0.3">
      <c r="A104"/>
      <c r="B104"/>
      <c r="C104"/>
      <c r="D104"/>
      <c r="E104"/>
      <c r="F104"/>
      <c r="G104"/>
      <c r="H104"/>
      <c r="I104"/>
      <c r="L104" s="64"/>
    </row>
    <row r="105" spans="1:12" x14ac:dyDescent="0.3">
      <c r="A105"/>
      <c r="B105"/>
      <c r="C105"/>
      <c r="D105"/>
      <c r="E105"/>
      <c r="F105"/>
      <c r="G105"/>
      <c r="H105"/>
      <c r="I105"/>
      <c r="L105" s="64"/>
    </row>
    <row r="106" spans="1:12" x14ac:dyDescent="0.3">
      <c r="A106"/>
      <c r="B106"/>
      <c r="C106"/>
      <c r="D106"/>
      <c r="E106"/>
      <c r="F106"/>
      <c r="G106"/>
      <c r="H106"/>
      <c r="I106"/>
      <c r="L106" s="64"/>
    </row>
    <row r="107" spans="1:12" x14ac:dyDescent="0.3">
      <c r="A107"/>
      <c r="B107"/>
      <c r="C107"/>
      <c r="D107"/>
      <c r="E107"/>
      <c r="F107"/>
      <c r="G107"/>
      <c r="H107"/>
      <c r="I107"/>
      <c r="L107" s="64"/>
    </row>
    <row r="108" spans="1:12" x14ac:dyDescent="0.3">
      <c r="A108"/>
      <c r="B108"/>
      <c r="C108"/>
      <c r="D108"/>
      <c r="E108"/>
      <c r="F108"/>
      <c r="G108"/>
      <c r="H108"/>
      <c r="I108"/>
      <c r="L108" s="64"/>
    </row>
    <row r="109" spans="1:12" x14ac:dyDescent="0.3">
      <c r="A109"/>
      <c r="B109"/>
      <c r="C109"/>
      <c r="D109"/>
      <c r="E109"/>
      <c r="F109"/>
      <c r="G109"/>
      <c r="H109"/>
      <c r="I109"/>
      <c r="L109" s="64"/>
    </row>
    <row r="110" spans="1:12" x14ac:dyDescent="0.3">
      <c r="A110"/>
      <c r="B110"/>
      <c r="C110"/>
      <c r="D110"/>
      <c r="E110"/>
      <c r="F110"/>
      <c r="G110"/>
      <c r="H110"/>
      <c r="I110"/>
      <c r="L110" s="64"/>
    </row>
    <row r="111" spans="1:12" x14ac:dyDescent="0.3">
      <c r="A111"/>
      <c r="B111"/>
      <c r="C111"/>
      <c r="D111"/>
      <c r="E111"/>
      <c r="F111"/>
      <c r="G111"/>
      <c r="H111"/>
      <c r="I111"/>
      <c r="L111" s="64"/>
    </row>
    <row r="112" spans="1:12" x14ac:dyDescent="0.3">
      <c r="A112"/>
      <c r="B112"/>
      <c r="C112"/>
      <c r="D112"/>
      <c r="E112"/>
      <c r="F112"/>
      <c r="G112"/>
      <c r="H112"/>
      <c r="I112"/>
      <c r="L112" s="64"/>
    </row>
    <row r="113" spans="1:12" x14ac:dyDescent="0.3">
      <c r="A113"/>
      <c r="B113"/>
      <c r="C113"/>
      <c r="D113"/>
      <c r="E113"/>
      <c r="F113"/>
      <c r="G113"/>
      <c r="H113"/>
      <c r="I113"/>
      <c r="L113" s="64"/>
    </row>
    <row r="114" spans="1:12" x14ac:dyDescent="0.3">
      <c r="A114"/>
      <c r="B114"/>
      <c r="C114"/>
      <c r="D114"/>
      <c r="E114"/>
      <c r="F114"/>
      <c r="G114"/>
      <c r="H114"/>
      <c r="I114"/>
      <c r="L114" s="64"/>
    </row>
    <row r="115" spans="1:12" x14ac:dyDescent="0.3">
      <c r="A115"/>
      <c r="B115"/>
      <c r="C115"/>
      <c r="D115"/>
      <c r="E115"/>
      <c r="F115"/>
      <c r="G115"/>
      <c r="H115"/>
      <c r="I115"/>
      <c r="L115" s="64"/>
    </row>
    <row r="116" spans="1:12" x14ac:dyDescent="0.3">
      <c r="A116"/>
      <c r="B116"/>
      <c r="C116"/>
      <c r="D116"/>
      <c r="E116"/>
      <c r="F116"/>
      <c r="G116"/>
      <c r="H116"/>
      <c r="I116"/>
      <c r="L116" s="64"/>
    </row>
    <row r="117" spans="1:12" x14ac:dyDescent="0.3">
      <c r="A117"/>
      <c r="B117"/>
      <c r="C117"/>
      <c r="D117"/>
      <c r="E117"/>
      <c r="F117"/>
      <c r="G117"/>
      <c r="H117"/>
      <c r="I117"/>
      <c r="L117" s="64"/>
    </row>
    <row r="118" spans="1:12" x14ac:dyDescent="0.3">
      <c r="A118"/>
      <c r="B118"/>
      <c r="C118"/>
      <c r="D118"/>
      <c r="E118"/>
      <c r="F118"/>
      <c r="G118"/>
      <c r="H118"/>
      <c r="I118"/>
      <c r="L118" s="64"/>
    </row>
    <row r="119" spans="1:12" x14ac:dyDescent="0.3">
      <c r="A119"/>
      <c r="B119"/>
      <c r="C119"/>
      <c r="D119"/>
      <c r="E119"/>
      <c r="F119"/>
      <c r="G119"/>
      <c r="H119"/>
      <c r="I119"/>
      <c r="L119" s="64"/>
    </row>
    <row r="120" spans="1:12" x14ac:dyDescent="0.3">
      <c r="A120"/>
      <c r="B120"/>
      <c r="C120"/>
      <c r="D120"/>
      <c r="E120"/>
      <c r="F120"/>
      <c r="G120"/>
      <c r="H120"/>
      <c r="I120"/>
      <c r="L120" s="64"/>
    </row>
    <row r="121" spans="1:12" x14ac:dyDescent="0.3">
      <c r="A121"/>
      <c r="B121"/>
      <c r="C121"/>
      <c r="D121"/>
      <c r="E121"/>
      <c r="F121"/>
      <c r="G121"/>
      <c r="H121"/>
      <c r="I121"/>
      <c r="L121" s="64"/>
    </row>
    <row r="122" spans="1:12" x14ac:dyDescent="0.3">
      <c r="A122"/>
      <c r="B122"/>
      <c r="C122"/>
      <c r="D122"/>
      <c r="E122"/>
      <c r="F122"/>
      <c r="G122"/>
      <c r="H122"/>
      <c r="I122"/>
      <c r="L122" s="64"/>
    </row>
    <row r="123" spans="1:12" x14ac:dyDescent="0.3">
      <c r="A123"/>
      <c r="B123"/>
      <c r="C123"/>
      <c r="D123"/>
      <c r="E123"/>
      <c r="F123"/>
      <c r="G123"/>
      <c r="H123"/>
      <c r="I123"/>
      <c r="L123" s="64"/>
    </row>
    <row r="124" spans="1:12" x14ac:dyDescent="0.3">
      <c r="A124"/>
      <c r="B124"/>
      <c r="C124"/>
      <c r="D124"/>
      <c r="E124"/>
      <c r="F124"/>
      <c r="G124"/>
      <c r="H124"/>
      <c r="I124"/>
      <c r="L124" s="64"/>
    </row>
    <row r="125" spans="1:12" x14ac:dyDescent="0.3">
      <c r="A125"/>
      <c r="B125"/>
      <c r="C125"/>
      <c r="D125"/>
      <c r="E125"/>
      <c r="F125"/>
      <c r="G125"/>
      <c r="H125"/>
      <c r="I125"/>
      <c r="L125" s="64"/>
    </row>
    <row r="126" spans="1:12" x14ac:dyDescent="0.3">
      <c r="A126"/>
      <c r="B126"/>
      <c r="C126"/>
      <c r="D126"/>
      <c r="E126"/>
      <c r="F126"/>
      <c r="G126"/>
      <c r="H126"/>
      <c r="I126"/>
      <c r="L126" s="64"/>
    </row>
    <row r="127" spans="1:12" x14ac:dyDescent="0.3">
      <c r="A127"/>
      <c r="B127"/>
      <c r="C127"/>
      <c r="D127"/>
      <c r="E127"/>
      <c r="F127"/>
      <c r="G127"/>
      <c r="H127"/>
      <c r="I127"/>
      <c r="L127" s="64"/>
    </row>
    <row r="128" spans="1:12" x14ac:dyDescent="0.3">
      <c r="A128"/>
      <c r="B128"/>
      <c r="C128"/>
      <c r="D128"/>
      <c r="E128"/>
      <c r="F128"/>
      <c r="G128"/>
      <c r="H128"/>
      <c r="I128"/>
      <c r="L128" s="64"/>
    </row>
    <row r="129" spans="1:12" x14ac:dyDescent="0.3">
      <c r="A129"/>
      <c r="B129"/>
      <c r="C129"/>
      <c r="D129"/>
      <c r="E129"/>
      <c r="F129"/>
      <c r="G129"/>
      <c r="H129"/>
      <c r="I129"/>
      <c r="L129" s="64"/>
    </row>
    <row r="130" spans="1:12" x14ac:dyDescent="0.3">
      <c r="A130"/>
      <c r="B130"/>
      <c r="C130"/>
      <c r="D130"/>
      <c r="E130"/>
      <c r="F130"/>
      <c r="G130"/>
      <c r="H130"/>
      <c r="I130"/>
      <c r="L130" s="64"/>
    </row>
    <row r="131" spans="1:12" x14ac:dyDescent="0.3">
      <c r="A131"/>
      <c r="B131"/>
      <c r="C131"/>
      <c r="D131"/>
      <c r="E131"/>
      <c r="F131"/>
      <c r="G131"/>
      <c r="H131"/>
      <c r="I131"/>
      <c r="L131" s="64"/>
    </row>
    <row r="132" spans="1:12" x14ac:dyDescent="0.3">
      <c r="A132"/>
      <c r="B132"/>
      <c r="C132"/>
      <c r="D132"/>
      <c r="E132"/>
      <c r="F132"/>
      <c r="G132"/>
      <c r="H132"/>
      <c r="I132"/>
      <c r="L132" s="64"/>
    </row>
    <row r="133" spans="1:12" x14ac:dyDescent="0.3">
      <c r="A133"/>
      <c r="B133"/>
      <c r="C133"/>
      <c r="D133"/>
      <c r="E133"/>
      <c r="F133"/>
      <c r="G133"/>
      <c r="H133"/>
      <c r="I133"/>
      <c r="L133" s="64"/>
    </row>
    <row r="134" spans="1:12" x14ac:dyDescent="0.3">
      <c r="A134"/>
      <c r="B134"/>
      <c r="C134"/>
      <c r="D134"/>
      <c r="E134"/>
      <c r="F134"/>
      <c r="G134"/>
      <c r="H134"/>
      <c r="I134"/>
      <c r="L134" s="64"/>
    </row>
    <row r="135" spans="1:12" x14ac:dyDescent="0.3">
      <c r="A135"/>
      <c r="B135"/>
      <c r="C135"/>
      <c r="D135"/>
      <c r="E135"/>
      <c r="F135"/>
      <c r="G135"/>
      <c r="H135"/>
      <c r="I135"/>
      <c r="L135" s="64"/>
    </row>
    <row r="136" spans="1:12" x14ac:dyDescent="0.3">
      <c r="A136"/>
      <c r="B136"/>
      <c r="C136"/>
      <c r="D136"/>
      <c r="E136"/>
      <c r="F136"/>
      <c r="G136"/>
      <c r="H136"/>
      <c r="I136"/>
      <c r="L136" s="64"/>
    </row>
    <row r="137" spans="1:12" x14ac:dyDescent="0.3">
      <c r="A137"/>
      <c r="B137"/>
      <c r="C137"/>
      <c r="D137"/>
      <c r="E137"/>
      <c r="F137"/>
      <c r="G137"/>
      <c r="H137"/>
      <c r="I137"/>
      <c r="L137" s="64"/>
    </row>
    <row r="138" spans="1:12" x14ac:dyDescent="0.3">
      <c r="A138"/>
      <c r="B138"/>
      <c r="C138"/>
      <c r="D138"/>
      <c r="E138"/>
      <c r="F138"/>
      <c r="G138"/>
      <c r="H138"/>
      <c r="I138"/>
      <c r="L138" s="64"/>
    </row>
    <row r="139" spans="1:12" x14ac:dyDescent="0.3">
      <c r="A139"/>
      <c r="B139"/>
      <c r="C139"/>
      <c r="D139"/>
      <c r="E139"/>
      <c r="F139"/>
      <c r="G139"/>
      <c r="H139"/>
      <c r="I139"/>
      <c r="L139" s="64"/>
    </row>
    <row r="140" spans="1:12" x14ac:dyDescent="0.3">
      <c r="A140"/>
      <c r="B140"/>
      <c r="C140"/>
      <c r="D140"/>
      <c r="E140"/>
      <c r="F140"/>
      <c r="G140"/>
      <c r="H140"/>
      <c r="I140"/>
      <c r="L140" s="64"/>
    </row>
    <row r="141" spans="1:12" x14ac:dyDescent="0.3">
      <c r="A141"/>
      <c r="B141"/>
      <c r="C141"/>
      <c r="D141"/>
      <c r="E141"/>
      <c r="F141"/>
      <c r="G141"/>
      <c r="H141"/>
      <c r="I141"/>
      <c r="L141" s="64"/>
    </row>
    <row r="142" spans="1:12" x14ac:dyDescent="0.3">
      <c r="A142"/>
      <c r="B142"/>
      <c r="C142"/>
      <c r="D142"/>
      <c r="E142"/>
      <c r="F142"/>
      <c r="G142"/>
      <c r="H142"/>
      <c r="I142"/>
      <c r="L142" s="64"/>
    </row>
    <row r="143" spans="1:12" x14ac:dyDescent="0.3">
      <c r="A143"/>
      <c r="B143"/>
      <c r="C143"/>
      <c r="D143"/>
      <c r="E143"/>
      <c r="F143"/>
      <c r="G143"/>
      <c r="H143"/>
      <c r="I143"/>
      <c r="L143" s="64"/>
    </row>
    <row r="144" spans="1:12" x14ac:dyDescent="0.3">
      <c r="A144"/>
      <c r="B144"/>
      <c r="C144"/>
      <c r="D144"/>
      <c r="E144"/>
      <c r="F144"/>
      <c r="G144"/>
      <c r="H144"/>
      <c r="I144"/>
      <c r="L144" s="64"/>
    </row>
    <row r="145" spans="1:12" x14ac:dyDescent="0.3">
      <c r="A145"/>
      <c r="B145"/>
      <c r="C145"/>
      <c r="D145"/>
      <c r="E145"/>
      <c r="F145"/>
      <c r="G145"/>
      <c r="H145"/>
      <c r="I145"/>
      <c r="L145" s="64"/>
    </row>
    <row r="146" spans="1:12" x14ac:dyDescent="0.3">
      <c r="A146"/>
      <c r="B146"/>
      <c r="C146"/>
      <c r="D146"/>
      <c r="E146"/>
      <c r="F146"/>
      <c r="G146"/>
      <c r="H146"/>
      <c r="I146"/>
      <c r="L146" s="64"/>
    </row>
    <row r="147" spans="1:12" x14ac:dyDescent="0.3">
      <c r="A147"/>
      <c r="B147"/>
      <c r="C147"/>
      <c r="D147"/>
      <c r="E147"/>
      <c r="F147"/>
      <c r="G147"/>
      <c r="H147"/>
      <c r="I147"/>
      <c r="L147" s="64"/>
    </row>
    <row r="148" spans="1:12" x14ac:dyDescent="0.3">
      <c r="A148"/>
      <c r="B148"/>
      <c r="C148"/>
      <c r="D148"/>
      <c r="E148"/>
      <c r="F148"/>
      <c r="G148"/>
      <c r="H148"/>
      <c r="I148"/>
      <c r="L148" s="64"/>
    </row>
    <row r="149" spans="1:12" x14ac:dyDescent="0.3">
      <c r="A149"/>
      <c r="B149"/>
      <c r="C149"/>
      <c r="D149"/>
      <c r="E149"/>
      <c r="F149"/>
      <c r="G149"/>
      <c r="H149"/>
      <c r="I149"/>
      <c r="L149" s="64"/>
    </row>
    <row r="150" spans="1:12" x14ac:dyDescent="0.3">
      <c r="A150"/>
      <c r="B150"/>
      <c r="C150"/>
      <c r="D150"/>
      <c r="E150"/>
      <c r="F150"/>
      <c r="G150"/>
      <c r="H150"/>
      <c r="I150"/>
      <c r="L150" s="64"/>
    </row>
    <row r="151" spans="1:12" x14ac:dyDescent="0.3">
      <c r="A151"/>
      <c r="B151"/>
      <c r="C151"/>
      <c r="D151"/>
      <c r="E151"/>
      <c r="F151"/>
      <c r="G151"/>
      <c r="H151"/>
      <c r="I151"/>
      <c r="L151" s="64"/>
    </row>
    <row r="152" spans="1:12" x14ac:dyDescent="0.3">
      <c r="A152"/>
      <c r="B152"/>
      <c r="C152"/>
      <c r="D152"/>
      <c r="E152"/>
      <c r="F152"/>
      <c r="G152"/>
      <c r="H152"/>
      <c r="I152"/>
      <c r="L152" s="64"/>
    </row>
    <row r="153" spans="1:12" x14ac:dyDescent="0.3">
      <c r="A153"/>
      <c r="B153"/>
      <c r="C153"/>
      <c r="D153"/>
      <c r="E153"/>
      <c r="F153"/>
      <c r="G153"/>
      <c r="H153"/>
      <c r="I153"/>
      <c r="L153" s="64"/>
    </row>
    <row r="154" spans="1:12" x14ac:dyDescent="0.3">
      <c r="A154"/>
      <c r="B154"/>
      <c r="C154"/>
      <c r="D154"/>
      <c r="E154"/>
      <c r="F154"/>
      <c r="G154"/>
      <c r="H154"/>
      <c r="I154"/>
      <c r="L154" s="64"/>
    </row>
    <row r="155" spans="1:12" x14ac:dyDescent="0.3">
      <c r="A155"/>
      <c r="B155"/>
      <c r="C155"/>
      <c r="D155"/>
      <c r="E155"/>
      <c r="F155"/>
      <c r="G155"/>
      <c r="H155"/>
      <c r="I155"/>
      <c r="L155" s="64"/>
    </row>
    <row r="156" spans="1:12" x14ac:dyDescent="0.3">
      <c r="A156"/>
      <c r="B156"/>
      <c r="C156"/>
      <c r="D156"/>
      <c r="E156"/>
      <c r="F156"/>
      <c r="G156"/>
      <c r="H156"/>
      <c r="I156"/>
      <c r="L156" s="64"/>
    </row>
    <row r="157" spans="1:12" x14ac:dyDescent="0.3">
      <c r="A157"/>
      <c r="B157"/>
      <c r="C157"/>
      <c r="D157"/>
      <c r="E157"/>
      <c r="F157"/>
      <c r="G157"/>
      <c r="H157"/>
      <c r="I157"/>
      <c r="L157" s="64"/>
    </row>
    <row r="158" spans="1:12" x14ac:dyDescent="0.3">
      <c r="A158"/>
      <c r="B158"/>
      <c r="C158"/>
      <c r="D158"/>
      <c r="E158"/>
      <c r="F158"/>
      <c r="G158"/>
      <c r="H158"/>
      <c r="I158"/>
      <c r="L158" s="64"/>
    </row>
    <row r="159" spans="1:12" x14ac:dyDescent="0.3">
      <c r="A159"/>
      <c r="B159"/>
      <c r="C159"/>
      <c r="D159"/>
      <c r="E159"/>
      <c r="F159"/>
      <c r="G159"/>
      <c r="H159"/>
      <c r="I159"/>
      <c r="L159" s="64"/>
    </row>
    <row r="160" spans="1:12" x14ac:dyDescent="0.3">
      <c r="A160"/>
      <c r="B160"/>
      <c r="C160"/>
      <c r="D160"/>
      <c r="E160"/>
      <c r="F160"/>
      <c r="G160"/>
      <c r="H160"/>
      <c r="I160"/>
      <c r="L160" s="64"/>
    </row>
    <row r="161" spans="1:12" x14ac:dyDescent="0.3">
      <c r="A161"/>
      <c r="B161"/>
      <c r="C161"/>
      <c r="D161"/>
      <c r="E161"/>
      <c r="F161"/>
      <c r="G161"/>
      <c r="H161"/>
      <c r="I161"/>
      <c r="L161" s="64"/>
    </row>
    <row r="162" spans="1:12" x14ac:dyDescent="0.3">
      <c r="A162"/>
      <c r="B162"/>
      <c r="C162"/>
      <c r="D162"/>
      <c r="E162"/>
      <c r="F162"/>
      <c r="G162"/>
      <c r="H162"/>
      <c r="I162"/>
      <c r="L162" s="64"/>
    </row>
    <row r="163" spans="1:12" x14ac:dyDescent="0.3">
      <c r="A163"/>
      <c r="B163"/>
      <c r="C163"/>
      <c r="D163"/>
      <c r="E163"/>
      <c r="F163"/>
      <c r="G163"/>
      <c r="H163"/>
      <c r="I163"/>
      <c r="L163" s="64"/>
    </row>
    <row r="164" spans="1:12" x14ac:dyDescent="0.3">
      <c r="A164"/>
      <c r="B164"/>
      <c r="C164"/>
      <c r="D164"/>
      <c r="E164"/>
      <c r="F164"/>
      <c r="G164"/>
      <c r="H164"/>
      <c r="I164"/>
      <c r="L164" s="64"/>
    </row>
    <row r="165" spans="1:12" x14ac:dyDescent="0.3">
      <c r="A165"/>
      <c r="B165"/>
      <c r="C165"/>
      <c r="D165"/>
      <c r="E165"/>
      <c r="F165"/>
      <c r="G165"/>
      <c r="H165"/>
      <c r="I165"/>
      <c r="L165" s="64"/>
    </row>
    <row r="166" spans="1:12" x14ac:dyDescent="0.3">
      <c r="A166"/>
      <c r="B166"/>
      <c r="C166"/>
      <c r="D166"/>
      <c r="E166"/>
      <c r="F166"/>
      <c r="G166"/>
      <c r="H166"/>
      <c r="I166"/>
      <c r="L166" s="64"/>
    </row>
    <row r="167" spans="1:12" x14ac:dyDescent="0.3">
      <c r="A167"/>
      <c r="B167"/>
      <c r="C167"/>
      <c r="D167"/>
      <c r="E167"/>
      <c r="F167"/>
      <c r="G167"/>
      <c r="H167"/>
      <c r="I167"/>
      <c r="L167" s="64"/>
    </row>
    <row r="168" spans="1:12" x14ac:dyDescent="0.3">
      <c r="A168"/>
      <c r="B168"/>
      <c r="C168"/>
      <c r="D168"/>
      <c r="E168"/>
      <c r="F168"/>
      <c r="G168"/>
      <c r="H168"/>
      <c r="I168"/>
      <c r="L168" s="64"/>
    </row>
    <row r="169" spans="1:12" x14ac:dyDescent="0.3">
      <c r="A169"/>
      <c r="B169"/>
      <c r="C169"/>
      <c r="D169"/>
      <c r="E169"/>
      <c r="F169"/>
      <c r="G169"/>
      <c r="H169"/>
      <c r="I169"/>
      <c r="L169" s="64"/>
    </row>
    <row r="170" spans="1:12" x14ac:dyDescent="0.3">
      <c r="A170"/>
      <c r="B170"/>
      <c r="C170"/>
      <c r="D170"/>
      <c r="E170"/>
      <c r="F170"/>
      <c r="G170"/>
      <c r="H170"/>
      <c r="I170"/>
      <c r="L170" s="64"/>
    </row>
    <row r="171" spans="1:12" x14ac:dyDescent="0.3">
      <c r="A171"/>
      <c r="B171"/>
      <c r="C171"/>
      <c r="D171"/>
      <c r="E171"/>
      <c r="F171"/>
      <c r="G171"/>
      <c r="H171"/>
      <c r="I171"/>
      <c r="L171" s="64"/>
    </row>
    <row r="172" spans="1:12" x14ac:dyDescent="0.3">
      <c r="A172"/>
      <c r="B172"/>
      <c r="C172"/>
      <c r="D172"/>
      <c r="E172"/>
      <c r="F172"/>
      <c r="G172"/>
      <c r="H172"/>
      <c r="I172"/>
      <c r="L172" s="64"/>
    </row>
    <row r="173" spans="1:12" x14ac:dyDescent="0.3">
      <c r="A173"/>
      <c r="B173"/>
      <c r="C173"/>
      <c r="D173"/>
      <c r="E173"/>
      <c r="F173"/>
      <c r="G173"/>
      <c r="H173"/>
      <c r="I173"/>
      <c r="L173" s="64"/>
    </row>
    <row r="174" spans="1:12" x14ac:dyDescent="0.3">
      <c r="A174"/>
      <c r="B174"/>
      <c r="C174"/>
      <c r="D174"/>
      <c r="E174"/>
      <c r="F174"/>
      <c r="G174"/>
      <c r="H174"/>
      <c r="I174"/>
      <c r="L174" s="64"/>
    </row>
    <row r="175" spans="1:12" x14ac:dyDescent="0.3">
      <c r="A175"/>
      <c r="B175"/>
      <c r="C175"/>
      <c r="D175"/>
      <c r="E175"/>
      <c r="F175"/>
      <c r="G175"/>
      <c r="H175"/>
      <c r="I175"/>
      <c r="L175" s="64"/>
    </row>
    <row r="176" spans="1:12" x14ac:dyDescent="0.3">
      <c r="A176"/>
      <c r="B176"/>
      <c r="C176"/>
      <c r="D176"/>
      <c r="E176"/>
      <c r="F176"/>
      <c r="G176"/>
      <c r="H176"/>
      <c r="I176"/>
      <c r="L176" s="64"/>
    </row>
    <row r="177" spans="1:12" x14ac:dyDescent="0.3">
      <c r="A177"/>
      <c r="B177"/>
      <c r="C177"/>
      <c r="D177"/>
      <c r="E177"/>
      <c r="F177"/>
      <c r="G177"/>
      <c r="H177"/>
      <c r="I177"/>
      <c r="L177" s="64"/>
    </row>
    <row r="178" spans="1:12" x14ac:dyDescent="0.3">
      <c r="A178"/>
      <c r="B178"/>
      <c r="C178"/>
      <c r="D178"/>
      <c r="E178"/>
      <c r="F178"/>
      <c r="G178"/>
      <c r="H178"/>
      <c r="I178"/>
      <c r="L178" s="64"/>
    </row>
    <row r="179" spans="1:12" x14ac:dyDescent="0.3">
      <c r="A179"/>
      <c r="B179"/>
      <c r="C179"/>
      <c r="D179"/>
      <c r="E179"/>
      <c r="F179"/>
      <c r="G179"/>
      <c r="H179"/>
      <c r="I179"/>
      <c r="L179" s="64"/>
    </row>
    <row r="180" spans="1:12" x14ac:dyDescent="0.3">
      <c r="A180"/>
      <c r="B180"/>
      <c r="C180"/>
      <c r="D180"/>
      <c r="E180"/>
      <c r="F180"/>
      <c r="G180"/>
      <c r="H180"/>
      <c r="I180"/>
      <c r="L180" s="64"/>
    </row>
    <row r="181" spans="1:12" x14ac:dyDescent="0.3">
      <c r="A181"/>
      <c r="B181"/>
      <c r="C181"/>
      <c r="D181"/>
      <c r="E181"/>
      <c r="F181"/>
      <c r="G181"/>
      <c r="H181"/>
      <c r="I181"/>
      <c r="L181" s="64"/>
    </row>
    <row r="182" spans="1:12" x14ac:dyDescent="0.3">
      <c r="A182"/>
      <c r="B182"/>
      <c r="C182"/>
      <c r="D182"/>
      <c r="E182"/>
      <c r="F182"/>
      <c r="G182"/>
      <c r="H182"/>
      <c r="I182"/>
      <c r="L182" s="64"/>
    </row>
    <row r="183" spans="1:12" x14ac:dyDescent="0.3">
      <c r="A183"/>
      <c r="B183"/>
      <c r="C183"/>
      <c r="D183"/>
      <c r="E183"/>
      <c r="F183"/>
      <c r="G183"/>
      <c r="H183"/>
      <c r="I183"/>
      <c r="L183" s="64"/>
    </row>
    <row r="184" spans="1:12" x14ac:dyDescent="0.3">
      <c r="A184"/>
      <c r="B184"/>
      <c r="C184"/>
      <c r="D184"/>
      <c r="E184"/>
      <c r="F184"/>
      <c r="G184"/>
      <c r="H184"/>
      <c r="I184"/>
      <c r="L184" s="64"/>
    </row>
    <row r="185" spans="1:12" x14ac:dyDescent="0.3">
      <c r="A185"/>
      <c r="B185"/>
      <c r="C185"/>
      <c r="D185"/>
      <c r="E185"/>
      <c r="F185"/>
      <c r="G185"/>
      <c r="H185"/>
      <c r="I185"/>
      <c r="L185" s="64"/>
    </row>
    <row r="186" spans="1:12" x14ac:dyDescent="0.3">
      <c r="A186"/>
      <c r="B186"/>
      <c r="C186"/>
      <c r="D186"/>
      <c r="E186"/>
      <c r="F186"/>
      <c r="G186"/>
      <c r="H186"/>
      <c r="I186"/>
      <c r="L186" s="64"/>
    </row>
    <row r="187" spans="1:12" x14ac:dyDescent="0.3">
      <c r="A187"/>
      <c r="B187"/>
      <c r="C187"/>
      <c r="D187"/>
      <c r="E187"/>
      <c r="F187"/>
      <c r="G187"/>
      <c r="H187"/>
      <c r="I187"/>
      <c r="L187" s="64"/>
    </row>
    <row r="188" spans="1:12" x14ac:dyDescent="0.3">
      <c r="A188"/>
      <c r="B188"/>
      <c r="C188"/>
      <c r="D188"/>
      <c r="E188"/>
      <c r="F188"/>
      <c r="G188"/>
      <c r="H188"/>
      <c r="I188"/>
      <c r="L188" s="64"/>
    </row>
    <row r="189" spans="1:12" x14ac:dyDescent="0.3">
      <c r="A189"/>
      <c r="B189"/>
      <c r="C189"/>
      <c r="D189"/>
      <c r="E189"/>
      <c r="F189"/>
      <c r="G189"/>
      <c r="H189"/>
      <c r="I189"/>
      <c r="L189" s="64"/>
    </row>
    <row r="190" spans="1:12" x14ac:dyDescent="0.3">
      <c r="A190"/>
      <c r="B190"/>
      <c r="C190"/>
      <c r="D190"/>
      <c r="E190"/>
      <c r="F190"/>
      <c r="G190"/>
      <c r="H190"/>
      <c r="I190"/>
      <c r="L190" s="64"/>
    </row>
    <row r="191" spans="1:12" x14ac:dyDescent="0.3">
      <c r="A191"/>
      <c r="B191"/>
      <c r="C191"/>
      <c r="D191"/>
      <c r="E191"/>
      <c r="F191"/>
      <c r="G191"/>
      <c r="H191"/>
      <c r="I191"/>
      <c r="L191" s="64"/>
    </row>
    <row r="192" spans="1:12" x14ac:dyDescent="0.3">
      <c r="A192"/>
      <c r="B192"/>
      <c r="C192"/>
      <c r="D192"/>
      <c r="E192"/>
      <c r="F192"/>
      <c r="G192"/>
      <c r="H192"/>
      <c r="I192"/>
      <c r="L192" s="64"/>
    </row>
    <row r="193" spans="1:12" x14ac:dyDescent="0.3">
      <c r="A193"/>
      <c r="B193"/>
      <c r="C193"/>
      <c r="D193"/>
      <c r="E193"/>
      <c r="F193"/>
      <c r="G193"/>
      <c r="H193"/>
      <c r="I193"/>
      <c r="L193" s="64"/>
    </row>
    <row r="194" spans="1:12" x14ac:dyDescent="0.3">
      <c r="A194"/>
      <c r="B194"/>
      <c r="C194"/>
      <c r="D194"/>
      <c r="E194"/>
      <c r="F194"/>
      <c r="G194"/>
      <c r="H194"/>
      <c r="I194"/>
      <c r="L194" s="64"/>
    </row>
    <row r="195" spans="1:12" x14ac:dyDescent="0.3">
      <c r="A195"/>
      <c r="B195"/>
      <c r="C195"/>
      <c r="D195"/>
      <c r="E195"/>
      <c r="F195"/>
      <c r="G195"/>
      <c r="H195"/>
      <c r="I195"/>
      <c r="L195" s="64"/>
    </row>
    <row r="196" spans="1:12" x14ac:dyDescent="0.3">
      <c r="A196"/>
      <c r="B196"/>
      <c r="C196"/>
      <c r="D196"/>
      <c r="E196"/>
      <c r="F196"/>
      <c r="G196"/>
      <c r="H196"/>
      <c r="I196"/>
      <c r="L196" s="64"/>
    </row>
    <row r="197" spans="1:12" x14ac:dyDescent="0.3">
      <c r="A197"/>
      <c r="B197"/>
      <c r="C197"/>
      <c r="D197"/>
      <c r="E197"/>
      <c r="F197"/>
      <c r="G197"/>
      <c r="H197"/>
      <c r="I197"/>
      <c r="L197" s="64"/>
    </row>
    <row r="198" spans="1:12" x14ac:dyDescent="0.3">
      <c r="A198"/>
      <c r="B198"/>
      <c r="C198"/>
      <c r="D198"/>
      <c r="E198"/>
      <c r="F198"/>
      <c r="G198"/>
      <c r="H198"/>
      <c r="I198"/>
      <c r="L198" s="64"/>
    </row>
    <row r="199" spans="1:12" x14ac:dyDescent="0.3">
      <c r="A199"/>
      <c r="B199"/>
      <c r="C199"/>
      <c r="D199"/>
      <c r="E199"/>
      <c r="F199"/>
      <c r="G199"/>
      <c r="H199"/>
      <c r="I199"/>
      <c r="L199" s="64"/>
    </row>
    <row r="200" spans="1:12" x14ac:dyDescent="0.3">
      <c r="A200"/>
      <c r="B200"/>
      <c r="C200"/>
      <c r="D200"/>
      <c r="E200"/>
      <c r="F200"/>
      <c r="G200"/>
      <c r="H200"/>
      <c r="I200"/>
      <c r="L200" s="64"/>
    </row>
    <row r="201" spans="1:12" x14ac:dyDescent="0.3">
      <c r="A201"/>
      <c r="B201"/>
      <c r="C201"/>
      <c r="D201"/>
      <c r="E201"/>
      <c r="F201"/>
      <c r="G201"/>
      <c r="H201"/>
      <c r="I201"/>
      <c r="L201" s="64"/>
    </row>
    <row r="202" spans="1:12" x14ac:dyDescent="0.3">
      <c r="A202"/>
      <c r="B202"/>
      <c r="C202"/>
      <c r="D202"/>
      <c r="E202"/>
      <c r="F202"/>
      <c r="G202"/>
      <c r="H202"/>
      <c r="I202"/>
      <c r="L202" s="64"/>
    </row>
    <row r="203" spans="1:12" x14ac:dyDescent="0.3">
      <c r="A203"/>
      <c r="B203"/>
      <c r="C203"/>
      <c r="D203"/>
      <c r="E203"/>
      <c r="F203"/>
      <c r="G203"/>
      <c r="H203"/>
      <c r="I203"/>
      <c r="L203" s="64"/>
    </row>
    <row r="204" spans="1:12" x14ac:dyDescent="0.3">
      <c r="A204"/>
      <c r="B204"/>
      <c r="C204"/>
      <c r="D204"/>
      <c r="E204"/>
      <c r="F204"/>
      <c r="G204"/>
      <c r="H204"/>
      <c r="I204"/>
      <c r="L204" s="64"/>
    </row>
    <row r="205" spans="1:12" x14ac:dyDescent="0.3">
      <c r="A205"/>
      <c r="B205"/>
      <c r="C205"/>
      <c r="D205"/>
      <c r="E205"/>
      <c r="F205"/>
      <c r="G205"/>
      <c r="H205"/>
      <c r="I205"/>
      <c r="L205" s="64"/>
    </row>
    <row r="206" spans="1:12" x14ac:dyDescent="0.3">
      <c r="A206"/>
      <c r="B206"/>
      <c r="C206"/>
      <c r="D206"/>
      <c r="E206"/>
      <c r="F206"/>
      <c r="G206"/>
      <c r="H206"/>
      <c r="I206"/>
      <c r="L206" s="64"/>
    </row>
    <row r="207" spans="1:12" x14ac:dyDescent="0.3">
      <c r="A207"/>
      <c r="B207"/>
      <c r="C207"/>
      <c r="D207"/>
      <c r="E207"/>
      <c r="F207"/>
      <c r="G207"/>
      <c r="H207"/>
      <c r="I207"/>
      <c r="L207" s="64"/>
    </row>
    <row r="208" spans="1:12" x14ac:dyDescent="0.3">
      <c r="A208"/>
      <c r="B208"/>
      <c r="C208"/>
      <c r="D208"/>
      <c r="E208"/>
      <c r="F208"/>
      <c r="G208"/>
      <c r="H208"/>
      <c r="I208"/>
      <c r="L208" s="64"/>
    </row>
    <row r="209" spans="1:12" x14ac:dyDescent="0.3">
      <c r="A209"/>
      <c r="B209"/>
      <c r="C209"/>
      <c r="D209"/>
      <c r="E209"/>
      <c r="F209"/>
      <c r="G209"/>
      <c r="H209"/>
      <c r="I209"/>
      <c r="L209" s="64"/>
    </row>
    <row r="210" spans="1:12" x14ac:dyDescent="0.3">
      <c r="A210"/>
      <c r="B210"/>
      <c r="C210"/>
      <c r="D210"/>
      <c r="E210"/>
      <c r="F210"/>
      <c r="G210"/>
      <c r="H210"/>
      <c r="I210"/>
      <c r="L210" s="64"/>
    </row>
    <row r="211" spans="1:12" x14ac:dyDescent="0.3">
      <c r="A211"/>
      <c r="B211"/>
      <c r="C211"/>
      <c r="D211"/>
      <c r="E211"/>
      <c r="F211"/>
      <c r="G211"/>
      <c r="H211"/>
      <c r="I211"/>
      <c r="L211" s="64"/>
    </row>
    <row r="212" spans="1:12" x14ac:dyDescent="0.3">
      <c r="A212"/>
      <c r="B212"/>
      <c r="C212"/>
      <c r="D212"/>
      <c r="E212"/>
      <c r="F212"/>
      <c r="G212"/>
      <c r="H212"/>
      <c r="I212"/>
      <c r="L212" s="64"/>
    </row>
    <row r="213" spans="1:12" x14ac:dyDescent="0.3">
      <c r="A213"/>
      <c r="B213"/>
      <c r="C213"/>
      <c r="D213"/>
      <c r="E213"/>
      <c r="F213"/>
      <c r="G213"/>
      <c r="H213"/>
      <c r="I213"/>
      <c r="L213" s="64"/>
    </row>
    <row r="214" spans="1:12" x14ac:dyDescent="0.3">
      <c r="A214"/>
      <c r="B214"/>
      <c r="C214"/>
      <c r="D214"/>
      <c r="E214"/>
      <c r="F214"/>
      <c r="G214"/>
      <c r="H214"/>
      <c r="I214"/>
      <c r="L214" s="64"/>
    </row>
    <row r="215" spans="1:12" x14ac:dyDescent="0.3">
      <c r="A215"/>
      <c r="B215"/>
      <c r="C215"/>
      <c r="D215"/>
      <c r="E215"/>
      <c r="F215"/>
      <c r="G215"/>
      <c r="H215"/>
      <c r="I215"/>
      <c r="L215" s="64"/>
    </row>
    <row r="216" spans="1:12" x14ac:dyDescent="0.3">
      <c r="A216"/>
      <c r="B216"/>
      <c r="C216"/>
      <c r="D216"/>
      <c r="E216"/>
      <c r="F216"/>
      <c r="G216"/>
      <c r="H216"/>
      <c r="I216"/>
      <c r="L216" s="64"/>
    </row>
    <row r="217" spans="1:12" x14ac:dyDescent="0.3">
      <c r="A217"/>
      <c r="B217"/>
      <c r="C217"/>
      <c r="D217"/>
      <c r="E217"/>
      <c r="F217"/>
      <c r="G217"/>
      <c r="H217"/>
      <c r="I217"/>
      <c r="L217" s="64"/>
    </row>
    <row r="218" spans="1:12" x14ac:dyDescent="0.3">
      <c r="A218"/>
      <c r="B218"/>
      <c r="C218"/>
      <c r="D218"/>
      <c r="E218"/>
      <c r="F218"/>
      <c r="G218"/>
      <c r="H218"/>
      <c r="I218"/>
      <c r="L218" s="64"/>
    </row>
    <row r="219" spans="1:12" x14ac:dyDescent="0.3">
      <c r="A219"/>
      <c r="B219"/>
      <c r="C219"/>
      <c r="D219"/>
      <c r="E219"/>
      <c r="F219"/>
      <c r="G219"/>
      <c r="H219"/>
      <c r="I219"/>
      <c r="L219" s="64"/>
    </row>
    <row r="220" spans="1:12" x14ac:dyDescent="0.3">
      <c r="A220"/>
      <c r="B220"/>
      <c r="C220"/>
      <c r="D220"/>
      <c r="E220"/>
      <c r="F220"/>
      <c r="G220"/>
      <c r="H220"/>
      <c r="I220"/>
      <c r="L220" s="64"/>
    </row>
    <row r="221" spans="1:12" x14ac:dyDescent="0.3">
      <c r="A221"/>
      <c r="B221"/>
      <c r="C221"/>
      <c r="D221"/>
      <c r="E221"/>
      <c r="F221"/>
      <c r="G221"/>
      <c r="H221"/>
      <c r="I221"/>
      <c r="L221" s="64"/>
    </row>
    <row r="222" spans="1:12" x14ac:dyDescent="0.3">
      <c r="A222"/>
      <c r="B222"/>
      <c r="C222"/>
      <c r="D222"/>
      <c r="E222"/>
      <c r="F222"/>
      <c r="G222"/>
      <c r="H222"/>
      <c r="I222"/>
      <c r="L222" s="64"/>
    </row>
    <row r="223" spans="1:12" x14ac:dyDescent="0.3">
      <c r="A223"/>
      <c r="B223"/>
      <c r="C223"/>
      <c r="D223"/>
      <c r="E223"/>
      <c r="F223"/>
      <c r="G223"/>
      <c r="H223"/>
      <c r="I223"/>
      <c r="L223" s="64"/>
    </row>
    <row r="224" spans="1:12" x14ac:dyDescent="0.3">
      <c r="A224"/>
      <c r="B224"/>
      <c r="C224"/>
      <c r="D224"/>
      <c r="E224"/>
      <c r="F224"/>
      <c r="G224"/>
      <c r="H224"/>
      <c r="I224"/>
      <c r="L224" s="64"/>
    </row>
    <row r="225" spans="1:12" x14ac:dyDescent="0.3">
      <c r="A225"/>
      <c r="B225"/>
      <c r="C225"/>
      <c r="D225"/>
      <c r="E225"/>
      <c r="F225"/>
      <c r="G225"/>
      <c r="H225"/>
      <c r="I225"/>
      <c r="L225" s="64"/>
    </row>
    <row r="226" spans="1:12" x14ac:dyDescent="0.3">
      <c r="A226"/>
      <c r="B226"/>
      <c r="C226"/>
      <c r="D226"/>
      <c r="E226"/>
      <c r="F226"/>
      <c r="G226"/>
      <c r="H226"/>
      <c r="I226"/>
      <c r="L226" s="64"/>
    </row>
    <row r="227" spans="1:12" x14ac:dyDescent="0.3">
      <c r="A227"/>
      <c r="B227"/>
      <c r="C227"/>
      <c r="D227"/>
      <c r="E227"/>
      <c r="F227"/>
      <c r="G227"/>
      <c r="H227"/>
      <c r="I227"/>
      <c r="L227" s="64"/>
    </row>
    <row r="228" spans="1:12" x14ac:dyDescent="0.3">
      <c r="A228"/>
      <c r="B228"/>
      <c r="C228"/>
      <c r="D228"/>
      <c r="E228"/>
      <c r="F228"/>
      <c r="G228"/>
      <c r="H228"/>
      <c r="I228"/>
      <c r="L228" s="64"/>
    </row>
    <row r="229" spans="1:12" x14ac:dyDescent="0.3">
      <c r="A229"/>
      <c r="B229"/>
      <c r="C229"/>
      <c r="D229"/>
      <c r="E229"/>
      <c r="F229"/>
      <c r="G229"/>
      <c r="H229"/>
      <c r="I229"/>
      <c r="L229" s="64"/>
    </row>
    <row r="230" spans="1:12" x14ac:dyDescent="0.3">
      <c r="A230"/>
      <c r="B230"/>
      <c r="C230"/>
      <c r="D230"/>
      <c r="E230"/>
      <c r="F230"/>
      <c r="G230"/>
      <c r="H230"/>
      <c r="I230"/>
      <c r="L230" s="64"/>
    </row>
    <row r="231" spans="1:12" x14ac:dyDescent="0.3">
      <c r="A231"/>
      <c r="B231"/>
      <c r="C231"/>
      <c r="D231"/>
      <c r="E231"/>
      <c r="F231"/>
      <c r="G231"/>
      <c r="H231"/>
      <c r="I231"/>
      <c r="L231" s="64"/>
    </row>
    <row r="232" spans="1:12" x14ac:dyDescent="0.3">
      <c r="A232"/>
      <c r="B232"/>
      <c r="C232"/>
      <c r="D232"/>
      <c r="E232"/>
      <c r="F232"/>
      <c r="G232"/>
      <c r="H232"/>
      <c r="I232"/>
      <c r="L232" s="64"/>
    </row>
    <row r="233" spans="1:12" x14ac:dyDescent="0.3">
      <c r="A233"/>
      <c r="B233"/>
      <c r="C233"/>
      <c r="D233"/>
      <c r="E233"/>
      <c r="F233"/>
      <c r="G233"/>
      <c r="H233"/>
      <c r="I233"/>
      <c r="L233" s="64"/>
    </row>
    <row r="234" spans="1:12" x14ac:dyDescent="0.3">
      <c r="A234"/>
      <c r="B234"/>
      <c r="C234"/>
      <c r="D234"/>
      <c r="E234"/>
      <c r="F234"/>
      <c r="G234"/>
      <c r="H234"/>
      <c r="I234"/>
      <c r="L234" s="64"/>
    </row>
    <row r="235" spans="1:12" x14ac:dyDescent="0.3">
      <c r="A235"/>
      <c r="B235"/>
      <c r="C235"/>
      <c r="D235"/>
      <c r="E235"/>
      <c r="F235"/>
      <c r="G235"/>
      <c r="H235"/>
      <c r="I235"/>
      <c r="L235" s="64"/>
    </row>
    <row r="236" spans="1:12" x14ac:dyDescent="0.3">
      <c r="A236"/>
      <c r="B236"/>
      <c r="C236"/>
      <c r="D236"/>
      <c r="E236"/>
      <c r="F236"/>
      <c r="G236"/>
      <c r="H236"/>
      <c r="I236"/>
      <c r="L236" s="64"/>
    </row>
    <row r="237" spans="1:12" x14ac:dyDescent="0.3">
      <c r="A237"/>
      <c r="B237"/>
      <c r="C237"/>
      <c r="D237"/>
      <c r="E237"/>
      <c r="F237"/>
      <c r="G237"/>
      <c r="H237"/>
      <c r="I237"/>
      <c r="L237" s="64"/>
    </row>
    <row r="238" spans="1:12" x14ac:dyDescent="0.3">
      <c r="A238"/>
      <c r="B238"/>
      <c r="C238"/>
      <c r="D238"/>
      <c r="E238"/>
      <c r="F238"/>
      <c r="G238"/>
      <c r="H238"/>
      <c r="I238"/>
      <c r="L238" s="64"/>
    </row>
    <row r="239" spans="1:12" x14ac:dyDescent="0.3">
      <c r="A239"/>
      <c r="B239"/>
      <c r="C239"/>
      <c r="D239"/>
      <c r="E239"/>
      <c r="F239"/>
      <c r="G239"/>
      <c r="H239"/>
      <c r="I239"/>
      <c r="L239" s="64"/>
    </row>
    <row r="240" spans="1:12" x14ac:dyDescent="0.3">
      <c r="A240"/>
      <c r="B240"/>
      <c r="C240"/>
      <c r="D240"/>
      <c r="E240"/>
      <c r="F240"/>
      <c r="G240"/>
      <c r="H240"/>
      <c r="I240"/>
      <c r="L240" s="64"/>
    </row>
    <row r="241" spans="1:12" x14ac:dyDescent="0.3">
      <c r="A241"/>
      <c r="B241"/>
      <c r="C241"/>
      <c r="D241"/>
      <c r="E241"/>
      <c r="F241"/>
      <c r="G241"/>
      <c r="H241"/>
      <c r="I241"/>
      <c r="L241" s="64"/>
    </row>
    <row r="242" spans="1:12" x14ac:dyDescent="0.3">
      <c r="A242"/>
      <c r="B242"/>
      <c r="C242"/>
      <c r="D242"/>
      <c r="E242"/>
      <c r="F242"/>
      <c r="G242"/>
      <c r="H242"/>
      <c r="I242"/>
      <c r="L242" s="64"/>
    </row>
    <row r="243" spans="1:12" x14ac:dyDescent="0.3">
      <c r="A243"/>
      <c r="B243"/>
      <c r="C243"/>
      <c r="D243"/>
      <c r="E243"/>
      <c r="F243"/>
      <c r="G243"/>
      <c r="H243"/>
      <c r="I243"/>
      <c r="L243" s="64"/>
    </row>
    <row r="244" spans="1:12" x14ac:dyDescent="0.3">
      <c r="A244"/>
      <c r="B244"/>
      <c r="C244"/>
      <c r="D244"/>
      <c r="E244"/>
      <c r="F244"/>
      <c r="G244"/>
      <c r="H244"/>
      <c r="I244"/>
      <c r="L244" s="64"/>
    </row>
    <row r="245" spans="1:12" x14ac:dyDescent="0.3">
      <c r="A245"/>
      <c r="B245"/>
      <c r="C245"/>
      <c r="D245"/>
      <c r="E245"/>
      <c r="F245"/>
      <c r="G245"/>
      <c r="H245"/>
      <c r="I245"/>
      <c r="L245" s="64"/>
    </row>
    <row r="246" spans="1:12" x14ac:dyDescent="0.3">
      <c r="A246"/>
      <c r="B246"/>
      <c r="C246"/>
      <c r="D246"/>
      <c r="E246"/>
      <c r="F246"/>
      <c r="G246"/>
      <c r="H246"/>
      <c r="I246"/>
      <c r="L246" s="64"/>
    </row>
    <row r="247" spans="1:12" x14ac:dyDescent="0.3">
      <c r="A247"/>
      <c r="B247"/>
      <c r="C247"/>
      <c r="D247"/>
      <c r="E247"/>
      <c r="F247"/>
      <c r="G247"/>
      <c r="H247"/>
      <c r="I247"/>
      <c r="L247" s="64"/>
    </row>
    <row r="248" spans="1:12" x14ac:dyDescent="0.3">
      <c r="A248"/>
      <c r="B248"/>
      <c r="C248"/>
      <c r="D248"/>
      <c r="E248"/>
      <c r="F248"/>
      <c r="G248"/>
      <c r="H248"/>
      <c r="I248"/>
      <c r="L248" s="64"/>
    </row>
    <row r="249" spans="1:12" x14ac:dyDescent="0.3">
      <c r="A249"/>
      <c r="B249"/>
      <c r="C249"/>
      <c r="D249"/>
      <c r="E249"/>
      <c r="F249"/>
      <c r="G249"/>
      <c r="H249"/>
      <c r="I249"/>
      <c r="L249" s="64"/>
    </row>
    <row r="250" spans="1:12" x14ac:dyDescent="0.3">
      <c r="A250"/>
      <c r="B250"/>
      <c r="C250"/>
      <c r="D250"/>
      <c r="E250"/>
      <c r="F250"/>
      <c r="G250"/>
      <c r="H250"/>
      <c r="I250"/>
      <c r="L250" s="64"/>
    </row>
    <row r="251" spans="1:12" x14ac:dyDescent="0.3">
      <c r="A251"/>
      <c r="B251"/>
      <c r="C251"/>
      <c r="D251"/>
      <c r="E251"/>
      <c r="F251"/>
      <c r="G251"/>
      <c r="H251"/>
      <c r="I251"/>
      <c r="L251" s="64"/>
    </row>
    <row r="252" spans="1:12" x14ac:dyDescent="0.3">
      <c r="A252"/>
      <c r="B252"/>
      <c r="C252"/>
      <c r="D252"/>
      <c r="E252"/>
      <c r="F252"/>
      <c r="G252"/>
      <c r="H252"/>
      <c r="I252"/>
      <c r="L252" s="64"/>
    </row>
    <row r="253" spans="1:12" x14ac:dyDescent="0.3">
      <c r="A253"/>
      <c r="B253"/>
      <c r="C253"/>
      <c r="D253"/>
      <c r="E253"/>
      <c r="F253"/>
      <c r="G253"/>
      <c r="H253"/>
      <c r="I253"/>
      <c r="L253" s="64"/>
    </row>
    <row r="254" spans="1:12" x14ac:dyDescent="0.3">
      <c r="A254"/>
      <c r="B254"/>
      <c r="C254"/>
      <c r="D254"/>
      <c r="E254"/>
      <c r="F254"/>
      <c r="G254"/>
      <c r="H254"/>
      <c r="I254"/>
      <c r="L254" s="64"/>
    </row>
    <row r="255" spans="1:12" x14ac:dyDescent="0.3">
      <c r="A255"/>
      <c r="B255"/>
      <c r="C255"/>
      <c r="D255"/>
      <c r="E255"/>
      <c r="F255"/>
      <c r="G255"/>
      <c r="H255"/>
      <c r="I255"/>
      <c r="L255" s="64"/>
    </row>
    <row r="256" spans="1:12" x14ac:dyDescent="0.3">
      <c r="A256"/>
      <c r="B256"/>
      <c r="C256"/>
      <c r="D256"/>
      <c r="E256"/>
      <c r="F256"/>
      <c r="G256"/>
      <c r="H256"/>
      <c r="I256"/>
      <c r="L256" s="64"/>
    </row>
    <row r="257" spans="1:12" x14ac:dyDescent="0.3">
      <c r="A257"/>
      <c r="B257"/>
      <c r="C257"/>
      <c r="D257"/>
      <c r="E257"/>
      <c r="F257"/>
      <c r="G257"/>
      <c r="H257"/>
      <c r="I257"/>
      <c r="L257" s="64"/>
    </row>
    <row r="258" spans="1:12" x14ac:dyDescent="0.3">
      <c r="A258"/>
      <c r="B258"/>
      <c r="C258"/>
      <c r="D258"/>
      <c r="E258"/>
      <c r="F258"/>
      <c r="G258"/>
      <c r="H258"/>
      <c r="I258"/>
      <c r="L258" s="64"/>
    </row>
    <row r="259" spans="1:12" x14ac:dyDescent="0.3">
      <c r="A259"/>
      <c r="B259"/>
      <c r="C259"/>
      <c r="D259"/>
      <c r="E259"/>
      <c r="F259"/>
      <c r="G259"/>
      <c r="H259"/>
      <c r="I259"/>
      <c r="L259" s="64"/>
    </row>
    <row r="260" spans="1:12" x14ac:dyDescent="0.3">
      <c r="A260"/>
      <c r="B260"/>
      <c r="C260"/>
      <c r="D260"/>
      <c r="E260"/>
      <c r="F260"/>
      <c r="G260"/>
      <c r="H260"/>
      <c r="I260"/>
      <c r="L260" s="64"/>
    </row>
    <row r="261" spans="1:12" x14ac:dyDescent="0.3">
      <c r="A261"/>
      <c r="B261"/>
      <c r="C261"/>
      <c r="D261"/>
      <c r="E261"/>
      <c r="F261"/>
      <c r="G261"/>
      <c r="H261"/>
      <c r="I261"/>
      <c r="L261" s="64"/>
    </row>
    <row r="262" spans="1:12" x14ac:dyDescent="0.3">
      <c r="A262"/>
      <c r="B262"/>
      <c r="C262"/>
      <c r="D262"/>
      <c r="E262"/>
      <c r="F262"/>
      <c r="G262"/>
      <c r="H262"/>
      <c r="I262"/>
      <c r="L262" s="64"/>
    </row>
    <row r="263" spans="1:12" x14ac:dyDescent="0.3">
      <c r="A263"/>
      <c r="B263"/>
      <c r="C263"/>
      <c r="D263"/>
      <c r="E263"/>
      <c r="F263"/>
      <c r="G263"/>
      <c r="H263"/>
      <c r="I263"/>
      <c r="L263" s="64"/>
    </row>
    <row r="264" spans="1:12" x14ac:dyDescent="0.3">
      <c r="A264"/>
      <c r="B264"/>
      <c r="C264"/>
      <c r="D264"/>
      <c r="E264"/>
      <c r="F264"/>
      <c r="G264"/>
      <c r="H264"/>
      <c r="I264"/>
      <c r="L264" s="64"/>
    </row>
    <row r="265" spans="1:12" x14ac:dyDescent="0.3">
      <c r="A265"/>
      <c r="B265"/>
      <c r="C265"/>
      <c r="D265"/>
      <c r="E265"/>
      <c r="F265"/>
      <c r="G265"/>
      <c r="H265"/>
      <c r="I265"/>
      <c r="L265" s="64"/>
    </row>
    <row r="266" spans="1:12" x14ac:dyDescent="0.3">
      <c r="A266"/>
      <c r="B266"/>
      <c r="C266"/>
      <c r="D266"/>
      <c r="E266"/>
      <c r="F266"/>
      <c r="G266"/>
      <c r="H266"/>
      <c r="I266"/>
      <c r="L266" s="64"/>
    </row>
    <row r="267" spans="1:12" x14ac:dyDescent="0.3">
      <c r="A267"/>
      <c r="B267"/>
      <c r="C267"/>
      <c r="D267"/>
      <c r="E267"/>
      <c r="F267"/>
      <c r="G267"/>
      <c r="H267"/>
      <c r="I267"/>
      <c r="L267" s="64"/>
    </row>
    <row r="268" spans="1:12" x14ac:dyDescent="0.3">
      <c r="A268"/>
      <c r="B268"/>
      <c r="C268"/>
      <c r="D268"/>
      <c r="E268"/>
      <c r="F268"/>
      <c r="G268"/>
      <c r="H268"/>
      <c r="I268"/>
      <c r="L268" s="64"/>
    </row>
    <row r="269" spans="1:12" x14ac:dyDescent="0.3">
      <c r="A269"/>
      <c r="B269"/>
      <c r="C269"/>
      <c r="D269"/>
      <c r="E269"/>
      <c r="F269"/>
      <c r="G269"/>
      <c r="H269"/>
      <c r="I269"/>
      <c r="L269" s="64"/>
    </row>
    <row r="270" spans="1:12" x14ac:dyDescent="0.3">
      <c r="A270"/>
      <c r="B270"/>
      <c r="C270"/>
      <c r="D270"/>
      <c r="E270"/>
      <c r="F270"/>
      <c r="G270"/>
      <c r="H270"/>
      <c r="I270"/>
      <c r="L270" s="64"/>
    </row>
    <row r="271" spans="1:12" x14ac:dyDescent="0.3">
      <c r="A271"/>
      <c r="B271"/>
      <c r="C271"/>
      <c r="D271"/>
      <c r="E271"/>
      <c r="F271"/>
      <c r="G271"/>
      <c r="H271"/>
      <c r="I271"/>
      <c r="L271" s="64"/>
    </row>
    <row r="272" spans="1:12" x14ac:dyDescent="0.3">
      <c r="A272"/>
      <c r="B272"/>
      <c r="C272"/>
      <c r="D272"/>
      <c r="E272"/>
      <c r="F272"/>
      <c r="G272"/>
      <c r="H272"/>
      <c r="I272"/>
      <c r="L272" s="64"/>
    </row>
    <row r="273" spans="1:12" x14ac:dyDescent="0.3">
      <c r="A273"/>
      <c r="B273"/>
      <c r="C273"/>
      <c r="D273"/>
      <c r="E273"/>
      <c r="F273"/>
      <c r="G273"/>
      <c r="H273"/>
      <c r="I273"/>
      <c r="L273" s="64"/>
    </row>
    <row r="274" spans="1:12" x14ac:dyDescent="0.3">
      <c r="A274"/>
      <c r="B274"/>
      <c r="C274"/>
      <c r="D274"/>
      <c r="E274"/>
      <c r="F274"/>
      <c r="G274"/>
      <c r="H274"/>
      <c r="I274"/>
      <c r="L274" s="64"/>
    </row>
    <row r="275" spans="1:12" x14ac:dyDescent="0.3">
      <c r="A275"/>
      <c r="B275"/>
      <c r="C275"/>
      <c r="D275"/>
      <c r="E275"/>
      <c r="F275"/>
      <c r="G275"/>
      <c r="H275"/>
      <c r="I275"/>
      <c r="L275" s="64"/>
    </row>
    <row r="276" spans="1:12" x14ac:dyDescent="0.3">
      <c r="A276"/>
      <c r="B276"/>
      <c r="C276"/>
      <c r="D276"/>
      <c r="E276"/>
      <c r="F276"/>
      <c r="G276"/>
      <c r="H276"/>
      <c r="I276"/>
      <c r="L276" s="64"/>
    </row>
    <row r="277" spans="1:12" x14ac:dyDescent="0.3">
      <c r="A277"/>
      <c r="B277"/>
      <c r="C277"/>
      <c r="D277"/>
      <c r="E277"/>
      <c r="F277"/>
      <c r="G277"/>
      <c r="H277"/>
      <c r="I277"/>
      <c r="L277" s="64"/>
    </row>
    <row r="278" spans="1:12" x14ac:dyDescent="0.3">
      <c r="A278"/>
      <c r="B278"/>
      <c r="C278"/>
      <c r="D278"/>
      <c r="E278"/>
      <c r="F278"/>
      <c r="G278"/>
      <c r="H278"/>
      <c r="I278"/>
      <c r="L278" s="64"/>
    </row>
    <row r="279" spans="1:12" x14ac:dyDescent="0.3">
      <c r="A279"/>
      <c r="B279"/>
      <c r="C279"/>
      <c r="D279"/>
      <c r="E279"/>
      <c r="F279"/>
      <c r="G279"/>
      <c r="H279"/>
      <c r="I279"/>
      <c r="L279" s="64"/>
    </row>
    <row r="280" spans="1:12" x14ac:dyDescent="0.3">
      <c r="A280"/>
      <c r="B280"/>
      <c r="C280"/>
      <c r="D280"/>
      <c r="E280"/>
      <c r="F280"/>
      <c r="G280"/>
      <c r="H280"/>
      <c r="I280"/>
      <c r="L280" s="64"/>
    </row>
    <row r="281" spans="1:12" x14ac:dyDescent="0.3">
      <c r="A281"/>
      <c r="B281"/>
      <c r="C281"/>
      <c r="D281"/>
      <c r="E281"/>
      <c r="F281"/>
      <c r="G281"/>
      <c r="H281"/>
      <c r="I281"/>
      <c r="L281" s="64"/>
    </row>
    <row r="282" spans="1:12" x14ac:dyDescent="0.3">
      <c r="A282"/>
      <c r="B282"/>
      <c r="C282"/>
      <c r="D282"/>
      <c r="E282"/>
      <c r="F282"/>
      <c r="G282"/>
      <c r="H282"/>
      <c r="I282"/>
      <c r="L282" s="64"/>
    </row>
    <row r="283" spans="1:12" x14ac:dyDescent="0.3">
      <c r="A283"/>
      <c r="B283"/>
      <c r="C283"/>
      <c r="D283"/>
      <c r="E283"/>
      <c r="F283"/>
      <c r="G283"/>
      <c r="H283"/>
      <c r="I283"/>
      <c r="L283" s="64"/>
    </row>
    <row r="284" spans="1:12" x14ac:dyDescent="0.3">
      <c r="A284"/>
      <c r="B284"/>
      <c r="C284"/>
      <c r="D284"/>
      <c r="E284"/>
      <c r="F284"/>
      <c r="G284"/>
      <c r="H284"/>
      <c r="I284"/>
      <c r="L284" s="64"/>
    </row>
    <row r="285" spans="1:12" x14ac:dyDescent="0.3">
      <c r="A285"/>
      <c r="B285"/>
      <c r="C285"/>
      <c r="D285"/>
      <c r="E285"/>
      <c r="F285"/>
      <c r="G285"/>
      <c r="H285"/>
      <c r="I285"/>
      <c r="L285" s="64"/>
    </row>
    <row r="286" spans="1:12" x14ac:dyDescent="0.3">
      <c r="A286"/>
      <c r="B286"/>
      <c r="C286"/>
      <c r="D286"/>
      <c r="E286"/>
      <c r="F286"/>
      <c r="G286"/>
      <c r="H286"/>
      <c r="I286"/>
      <c r="L286" s="64"/>
    </row>
    <row r="287" spans="1:12" x14ac:dyDescent="0.3">
      <c r="A287"/>
      <c r="B287"/>
      <c r="C287"/>
      <c r="D287"/>
      <c r="E287"/>
      <c r="F287"/>
      <c r="G287"/>
      <c r="H287"/>
      <c r="I287"/>
      <c r="L287" s="64"/>
    </row>
    <row r="288" spans="1:12" x14ac:dyDescent="0.3">
      <c r="A288"/>
      <c r="B288"/>
      <c r="C288"/>
      <c r="D288"/>
      <c r="E288"/>
      <c r="F288"/>
      <c r="G288"/>
      <c r="H288"/>
      <c r="I288"/>
      <c r="L288" s="64"/>
    </row>
    <row r="289" spans="1:12" x14ac:dyDescent="0.3">
      <c r="A289"/>
      <c r="B289"/>
      <c r="C289"/>
      <c r="D289"/>
      <c r="E289"/>
      <c r="F289"/>
      <c r="G289"/>
      <c r="H289"/>
      <c r="I289"/>
      <c r="L289" s="64"/>
    </row>
    <row r="290" spans="1:12" x14ac:dyDescent="0.3">
      <c r="A290"/>
      <c r="B290"/>
      <c r="C290"/>
      <c r="D290"/>
      <c r="E290"/>
      <c r="F290"/>
      <c r="G290"/>
      <c r="H290"/>
      <c r="I290"/>
      <c r="L290" s="64"/>
    </row>
    <row r="291" spans="1:12" x14ac:dyDescent="0.3">
      <c r="A291"/>
      <c r="B291"/>
      <c r="C291"/>
      <c r="D291"/>
      <c r="E291"/>
      <c r="F291"/>
      <c r="G291"/>
      <c r="H291"/>
      <c r="I291"/>
      <c r="L291" s="64"/>
    </row>
    <row r="292" spans="1:12" x14ac:dyDescent="0.3">
      <c r="A292"/>
      <c r="B292"/>
      <c r="C292"/>
      <c r="D292"/>
      <c r="E292"/>
      <c r="F292"/>
      <c r="G292"/>
      <c r="H292"/>
      <c r="I292"/>
      <c r="L292" s="64"/>
    </row>
    <row r="293" spans="1:12" x14ac:dyDescent="0.3">
      <c r="A293"/>
      <c r="B293"/>
      <c r="C293"/>
      <c r="D293"/>
      <c r="E293"/>
      <c r="F293"/>
      <c r="G293"/>
      <c r="H293"/>
      <c r="I293"/>
      <c r="L293" s="64"/>
    </row>
    <row r="294" spans="1:12" x14ac:dyDescent="0.3">
      <c r="A294"/>
      <c r="B294"/>
      <c r="C294"/>
      <c r="D294"/>
      <c r="E294"/>
      <c r="F294"/>
      <c r="G294"/>
      <c r="H294"/>
      <c r="I294"/>
      <c r="L294" s="64"/>
    </row>
    <row r="295" spans="1:12" x14ac:dyDescent="0.3">
      <c r="A295"/>
      <c r="B295"/>
      <c r="C295"/>
      <c r="D295"/>
      <c r="E295"/>
      <c r="F295"/>
      <c r="G295"/>
      <c r="H295"/>
      <c r="I295"/>
      <c r="L295" s="64"/>
    </row>
    <row r="296" spans="1:12" x14ac:dyDescent="0.3">
      <c r="A296"/>
      <c r="B296"/>
      <c r="C296"/>
      <c r="D296"/>
      <c r="E296"/>
      <c r="F296"/>
      <c r="G296"/>
      <c r="H296"/>
      <c r="I296"/>
      <c r="L296" s="64"/>
    </row>
    <row r="297" spans="1:12" x14ac:dyDescent="0.3">
      <c r="A297"/>
      <c r="B297"/>
      <c r="C297"/>
      <c r="D297"/>
      <c r="E297"/>
      <c r="F297"/>
      <c r="G297"/>
      <c r="H297"/>
      <c r="I297"/>
      <c r="L297" s="64"/>
    </row>
    <row r="298" spans="1:12" x14ac:dyDescent="0.3">
      <c r="A298"/>
      <c r="B298"/>
      <c r="C298"/>
      <c r="D298"/>
      <c r="E298"/>
      <c r="F298"/>
      <c r="G298"/>
      <c r="H298"/>
      <c r="I298"/>
      <c r="L298" s="64"/>
    </row>
    <row r="299" spans="1:12" x14ac:dyDescent="0.3">
      <c r="A299"/>
      <c r="B299"/>
      <c r="C299"/>
      <c r="D299"/>
      <c r="E299"/>
      <c r="F299"/>
      <c r="G299"/>
      <c r="H299"/>
      <c r="I299"/>
      <c r="L299" s="64"/>
    </row>
    <row r="300" spans="1:12" x14ac:dyDescent="0.3">
      <c r="A300"/>
      <c r="B300"/>
      <c r="C300"/>
      <c r="D300"/>
      <c r="E300"/>
      <c r="F300"/>
      <c r="G300"/>
      <c r="H300"/>
      <c r="I300"/>
      <c r="L300" s="64"/>
    </row>
    <row r="301" spans="1:12" x14ac:dyDescent="0.3">
      <c r="A301"/>
      <c r="B301"/>
      <c r="C301"/>
      <c r="D301"/>
      <c r="E301"/>
      <c r="F301"/>
      <c r="G301"/>
      <c r="H301"/>
      <c r="I301"/>
      <c r="L301" s="64"/>
    </row>
    <row r="302" spans="1:12" x14ac:dyDescent="0.3">
      <c r="A302"/>
      <c r="B302"/>
      <c r="C302"/>
      <c r="D302"/>
      <c r="E302"/>
      <c r="F302"/>
      <c r="G302"/>
      <c r="H302"/>
      <c r="I302"/>
      <c r="L302" s="64"/>
    </row>
    <row r="303" spans="1:12" x14ac:dyDescent="0.3">
      <c r="A303"/>
      <c r="B303"/>
      <c r="C303"/>
      <c r="D303"/>
      <c r="E303"/>
      <c r="F303"/>
      <c r="G303"/>
      <c r="H303"/>
      <c r="I303"/>
      <c r="L303" s="64"/>
    </row>
    <row r="304" spans="1:12" x14ac:dyDescent="0.3">
      <c r="A304"/>
      <c r="B304"/>
      <c r="C304"/>
      <c r="D304"/>
      <c r="E304"/>
      <c r="F304"/>
      <c r="G304"/>
      <c r="H304"/>
      <c r="I304"/>
      <c r="L304" s="64"/>
    </row>
    <row r="305" spans="1:12" x14ac:dyDescent="0.3">
      <c r="A305"/>
      <c r="B305"/>
      <c r="C305"/>
      <c r="D305"/>
      <c r="E305"/>
      <c r="F305"/>
      <c r="G305"/>
      <c r="H305"/>
      <c r="I305"/>
      <c r="L305" s="64"/>
    </row>
    <row r="306" spans="1:12" x14ac:dyDescent="0.3">
      <c r="A306"/>
      <c r="B306"/>
      <c r="C306"/>
      <c r="D306"/>
      <c r="E306"/>
      <c r="F306"/>
      <c r="G306"/>
      <c r="H306"/>
      <c r="I306"/>
      <c r="L306" s="64"/>
    </row>
    <row r="307" spans="1:12" x14ac:dyDescent="0.3">
      <c r="A307"/>
      <c r="B307"/>
      <c r="C307"/>
      <c r="D307"/>
      <c r="E307"/>
      <c r="F307"/>
      <c r="G307"/>
      <c r="H307"/>
      <c r="I307"/>
      <c r="L307" s="64"/>
    </row>
    <row r="308" spans="1:12" x14ac:dyDescent="0.3">
      <c r="A308"/>
      <c r="B308"/>
      <c r="C308"/>
      <c r="D308"/>
      <c r="E308"/>
      <c r="F308"/>
      <c r="G308"/>
      <c r="H308"/>
      <c r="I308"/>
      <c r="L308" s="64"/>
    </row>
    <row r="309" spans="1:12" x14ac:dyDescent="0.3">
      <c r="A309"/>
      <c r="B309"/>
      <c r="C309"/>
      <c r="D309"/>
      <c r="E309"/>
      <c r="F309"/>
      <c r="G309"/>
      <c r="H309"/>
      <c r="I309"/>
      <c r="L309" s="64"/>
    </row>
    <row r="310" spans="1:12" x14ac:dyDescent="0.3">
      <c r="A310"/>
      <c r="B310"/>
      <c r="C310"/>
      <c r="D310"/>
      <c r="E310"/>
      <c r="F310"/>
      <c r="G310"/>
      <c r="H310"/>
      <c r="I310"/>
      <c r="L310" s="64"/>
    </row>
    <row r="311" spans="1:12" x14ac:dyDescent="0.3">
      <c r="A311"/>
      <c r="B311"/>
      <c r="C311"/>
      <c r="D311"/>
      <c r="E311"/>
      <c r="F311"/>
      <c r="G311"/>
      <c r="H311"/>
      <c r="I311"/>
      <c r="L311" s="64"/>
    </row>
    <row r="312" spans="1:12" x14ac:dyDescent="0.3">
      <c r="A312"/>
      <c r="B312"/>
      <c r="C312"/>
      <c r="D312"/>
      <c r="E312"/>
      <c r="F312"/>
      <c r="G312"/>
      <c r="H312"/>
      <c r="I312"/>
      <c r="L312" s="64"/>
    </row>
    <row r="313" spans="1:12" x14ac:dyDescent="0.3">
      <c r="A313"/>
      <c r="B313"/>
      <c r="C313"/>
      <c r="D313"/>
      <c r="E313"/>
      <c r="F313"/>
      <c r="G313"/>
      <c r="H313"/>
      <c r="I313"/>
      <c r="L313" s="64"/>
    </row>
    <row r="314" spans="1:12" x14ac:dyDescent="0.3">
      <c r="A314"/>
      <c r="B314"/>
      <c r="C314"/>
      <c r="D314"/>
      <c r="E314"/>
      <c r="F314"/>
      <c r="G314"/>
      <c r="H314"/>
      <c r="I314"/>
      <c r="L314" s="64"/>
    </row>
    <row r="315" spans="1:12" x14ac:dyDescent="0.3">
      <c r="A315"/>
      <c r="B315"/>
      <c r="C315"/>
      <c r="D315"/>
      <c r="E315"/>
      <c r="F315"/>
      <c r="G315"/>
      <c r="H315"/>
      <c r="I315"/>
      <c r="L315" s="64"/>
    </row>
    <row r="316" spans="1:12" x14ac:dyDescent="0.3">
      <c r="A316"/>
      <c r="B316"/>
      <c r="C316"/>
      <c r="D316"/>
      <c r="E316"/>
      <c r="F316"/>
      <c r="G316"/>
      <c r="H316"/>
      <c r="I316"/>
      <c r="L316" s="64"/>
    </row>
    <row r="317" spans="1:12" x14ac:dyDescent="0.3">
      <c r="A317"/>
      <c r="B317"/>
      <c r="C317"/>
      <c r="D317"/>
      <c r="E317"/>
      <c r="F317"/>
      <c r="G317"/>
      <c r="H317"/>
      <c r="I317"/>
      <c r="L317" s="64"/>
    </row>
    <row r="318" spans="1:12" x14ac:dyDescent="0.3">
      <c r="A318"/>
      <c r="B318"/>
      <c r="C318"/>
      <c r="D318"/>
      <c r="E318"/>
      <c r="F318"/>
      <c r="G318"/>
      <c r="H318"/>
      <c r="I318"/>
      <c r="L318" s="64"/>
    </row>
    <row r="319" spans="1:12" x14ac:dyDescent="0.3">
      <c r="A319"/>
      <c r="B319"/>
      <c r="C319"/>
      <c r="D319"/>
      <c r="E319"/>
      <c r="F319"/>
      <c r="G319"/>
      <c r="H319"/>
      <c r="I319"/>
      <c r="L319" s="64"/>
    </row>
    <row r="320" spans="1:12" x14ac:dyDescent="0.3">
      <c r="A320"/>
      <c r="B320"/>
      <c r="C320"/>
      <c r="D320"/>
      <c r="E320"/>
      <c r="F320"/>
      <c r="G320"/>
      <c r="H320"/>
      <c r="I320"/>
      <c r="L320" s="64"/>
    </row>
    <row r="321" spans="1:12" x14ac:dyDescent="0.3">
      <c r="A321"/>
      <c r="B321"/>
      <c r="C321"/>
      <c r="D321"/>
      <c r="E321"/>
      <c r="F321"/>
      <c r="G321"/>
      <c r="H321"/>
      <c r="I321"/>
      <c r="L321" s="64"/>
    </row>
    <row r="322" spans="1:12" x14ac:dyDescent="0.3">
      <c r="A322"/>
      <c r="B322"/>
      <c r="C322"/>
      <c r="D322"/>
      <c r="E322"/>
      <c r="F322"/>
      <c r="G322"/>
      <c r="H322"/>
      <c r="I322"/>
      <c r="L322" s="64"/>
    </row>
    <row r="323" spans="1:12" x14ac:dyDescent="0.3">
      <c r="A323"/>
      <c r="B323"/>
      <c r="C323"/>
      <c r="D323"/>
      <c r="E323"/>
      <c r="F323"/>
      <c r="G323"/>
      <c r="H323"/>
      <c r="I323"/>
      <c r="L323" s="64"/>
    </row>
    <row r="324" spans="1:12" x14ac:dyDescent="0.3">
      <c r="A324"/>
      <c r="B324"/>
      <c r="C324"/>
      <c r="D324"/>
      <c r="E324"/>
      <c r="F324"/>
      <c r="G324"/>
      <c r="H324"/>
      <c r="I324"/>
      <c r="L324" s="64"/>
    </row>
    <row r="325" spans="1:12" x14ac:dyDescent="0.3">
      <c r="A325"/>
      <c r="B325"/>
      <c r="C325"/>
      <c r="D325"/>
      <c r="E325"/>
      <c r="F325"/>
      <c r="G325"/>
      <c r="H325"/>
      <c r="I325"/>
      <c r="L325" s="64"/>
    </row>
    <row r="326" spans="1:12" x14ac:dyDescent="0.3">
      <c r="A326"/>
      <c r="B326"/>
      <c r="C326"/>
      <c r="D326"/>
      <c r="E326"/>
      <c r="F326"/>
      <c r="G326"/>
      <c r="H326"/>
      <c r="I326"/>
      <c r="L326" s="64"/>
    </row>
    <row r="327" spans="1:12" x14ac:dyDescent="0.3">
      <c r="A327"/>
      <c r="B327"/>
      <c r="C327"/>
      <c r="D327"/>
      <c r="E327"/>
      <c r="F327"/>
      <c r="G327"/>
      <c r="H327"/>
      <c r="I327"/>
      <c r="L327" s="64"/>
    </row>
    <row r="328" spans="1:12" x14ac:dyDescent="0.3">
      <c r="A328"/>
      <c r="B328"/>
      <c r="C328"/>
      <c r="D328"/>
      <c r="E328"/>
      <c r="F328"/>
      <c r="G328"/>
      <c r="H328"/>
      <c r="I328"/>
      <c r="L328" s="64"/>
    </row>
    <row r="329" spans="1:12" x14ac:dyDescent="0.3">
      <c r="A329"/>
      <c r="B329"/>
      <c r="C329"/>
      <c r="D329"/>
      <c r="E329"/>
      <c r="F329"/>
      <c r="G329"/>
      <c r="H329"/>
      <c r="I329"/>
      <c r="L329" s="64"/>
    </row>
    <row r="330" spans="1:12" x14ac:dyDescent="0.3">
      <c r="A330"/>
      <c r="B330"/>
      <c r="C330"/>
      <c r="D330"/>
      <c r="E330"/>
      <c r="F330"/>
      <c r="G330"/>
      <c r="H330"/>
      <c r="I330"/>
      <c r="L330" s="64"/>
    </row>
    <row r="331" spans="1:12" x14ac:dyDescent="0.3">
      <c r="A331"/>
      <c r="B331"/>
      <c r="C331"/>
      <c r="D331"/>
      <c r="E331"/>
      <c r="F331"/>
      <c r="G331"/>
      <c r="H331"/>
      <c r="I331"/>
      <c r="L331" s="64"/>
    </row>
    <row r="332" spans="1:12" x14ac:dyDescent="0.3">
      <c r="A332"/>
      <c r="B332"/>
      <c r="C332"/>
      <c r="D332"/>
      <c r="E332"/>
      <c r="F332"/>
      <c r="G332"/>
      <c r="H332"/>
      <c r="I332"/>
      <c r="L332" s="64"/>
    </row>
    <row r="333" spans="1:12" x14ac:dyDescent="0.3">
      <c r="A333"/>
      <c r="B333"/>
      <c r="C333"/>
      <c r="D333"/>
      <c r="E333"/>
      <c r="F333"/>
      <c r="G333"/>
      <c r="H333"/>
      <c r="I333"/>
      <c r="L333" s="64"/>
    </row>
    <row r="334" spans="1:12" x14ac:dyDescent="0.3">
      <c r="A334"/>
      <c r="B334"/>
      <c r="C334"/>
      <c r="D334"/>
      <c r="E334"/>
      <c r="F334"/>
      <c r="G334"/>
      <c r="H334"/>
      <c r="I334"/>
      <c r="L334" s="64"/>
    </row>
    <row r="335" spans="1:12" x14ac:dyDescent="0.3">
      <c r="A335"/>
      <c r="B335"/>
      <c r="C335"/>
      <c r="D335"/>
      <c r="E335"/>
      <c r="F335"/>
      <c r="G335"/>
      <c r="H335"/>
      <c r="I335"/>
      <c r="L335" s="64"/>
    </row>
    <row r="336" spans="1:12" x14ac:dyDescent="0.3">
      <c r="A336"/>
      <c r="B336"/>
      <c r="C336"/>
      <c r="D336"/>
      <c r="E336"/>
      <c r="F336"/>
      <c r="G336"/>
      <c r="H336"/>
      <c r="I336"/>
      <c r="L336" s="64"/>
    </row>
    <row r="337" spans="1:12" x14ac:dyDescent="0.3">
      <c r="A337"/>
      <c r="B337"/>
      <c r="C337"/>
      <c r="D337"/>
      <c r="E337"/>
      <c r="F337"/>
      <c r="G337"/>
      <c r="H337"/>
      <c r="I337"/>
      <c r="L337" s="64"/>
    </row>
    <row r="338" spans="1:12" x14ac:dyDescent="0.3">
      <c r="A338"/>
      <c r="B338"/>
      <c r="C338"/>
      <c r="D338"/>
      <c r="E338"/>
      <c r="F338"/>
      <c r="G338"/>
      <c r="H338"/>
      <c r="I338"/>
      <c r="L338" s="64"/>
    </row>
    <row r="339" spans="1:12" x14ac:dyDescent="0.3">
      <c r="A339"/>
      <c r="B339"/>
      <c r="C339"/>
      <c r="D339"/>
      <c r="E339"/>
      <c r="F339"/>
      <c r="G339"/>
      <c r="H339"/>
      <c r="I339"/>
      <c r="L339" s="64"/>
    </row>
    <row r="340" spans="1:12" x14ac:dyDescent="0.3">
      <c r="A340"/>
      <c r="B340"/>
      <c r="C340"/>
      <c r="D340"/>
      <c r="E340"/>
      <c r="F340"/>
      <c r="G340"/>
      <c r="H340"/>
      <c r="I340"/>
      <c r="L340" s="64"/>
    </row>
    <row r="341" spans="1:12" x14ac:dyDescent="0.3">
      <c r="A341"/>
      <c r="B341"/>
      <c r="C341"/>
      <c r="D341"/>
      <c r="E341"/>
      <c r="F341"/>
      <c r="G341"/>
      <c r="H341"/>
      <c r="I341"/>
      <c r="L341" s="64"/>
    </row>
    <row r="342" spans="1:12" x14ac:dyDescent="0.3">
      <c r="A342"/>
      <c r="B342"/>
      <c r="C342"/>
      <c r="D342"/>
      <c r="E342"/>
      <c r="F342"/>
      <c r="G342"/>
      <c r="H342"/>
      <c r="I342"/>
      <c r="L342" s="64"/>
    </row>
    <row r="343" spans="1:12" x14ac:dyDescent="0.3">
      <c r="A343"/>
      <c r="B343"/>
      <c r="C343"/>
      <c r="D343"/>
      <c r="E343"/>
      <c r="F343"/>
      <c r="G343"/>
      <c r="H343"/>
      <c r="I343"/>
      <c r="L343" s="64"/>
    </row>
    <row r="344" spans="1:12" x14ac:dyDescent="0.3">
      <c r="A344"/>
      <c r="B344"/>
      <c r="C344"/>
      <c r="D344"/>
      <c r="E344"/>
      <c r="F344"/>
      <c r="G344"/>
      <c r="H344"/>
      <c r="I344"/>
      <c r="L344" s="64"/>
    </row>
    <row r="345" spans="1:12" x14ac:dyDescent="0.3">
      <c r="A345"/>
      <c r="B345"/>
      <c r="C345"/>
      <c r="D345"/>
      <c r="E345"/>
      <c r="F345"/>
      <c r="G345"/>
      <c r="H345"/>
      <c r="I345"/>
      <c r="L345" s="64"/>
    </row>
    <row r="346" spans="1:12" x14ac:dyDescent="0.3">
      <c r="A346"/>
      <c r="B346"/>
      <c r="C346"/>
      <c r="D346"/>
      <c r="E346"/>
      <c r="F346"/>
      <c r="G346"/>
      <c r="H346"/>
      <c r="I346"/>
      <c r="L346" s="64"/>
    </row>
    <row r="347" spans="1:12" x14ac:dyDescent="0.3">
      <c r="A347"/>
      <c r="B347"/>
      <c r="C347"/>
      <c r="D347"/>
      <c r="E347"/>
      <c r="F347"/>
      <c r="G347"/>
      <c r="H347"/>
      <c r="I347"/>
      <c r="L347" s="64"/>
    </row>
    <row r="348" spans="1:12" x14ac:dyDescent="0.3">
      <c r="A348"/>
      <c r="B348"/>
      <c r="C348"/>
      <c r="D348"/>
      <c r="E348"/>
      <c r="F348"/>
      <c r="G348"/>
      <c r="H348"/>
      <c r="I348"/>
      <c r="L348" s="64"/>
    </row>
    <row r="349" spans="1:12" x14ac:dyDescent="0.3">
      <c r="A349"/>
      <c r="B349"/>
      <c r="C349"/>
      <c r="D349"/>
      <c r="E349"/>
      <c r="F349"/>
      <c r="G349"/>
      <c r="H349"/>
      <c r="I349"/>
      <c r="L349" s="64"/>
    </row>
    <row r="350" spans="1:12" x14ac:dyDescent="0.3">
      <c r="A350"/>
      <c r="B350"/>
      <c r="C350"/>
      <c r="D350"/>
      <c r="E350"/>
      <c r="F350"/>
      <c r="G350"/>
      <c r="H350"/>
      <c r="I350"/>
      <c r="L350" s="64"/>
    </row>
    <row r="351" spans="1:12" x14ac:dyDescent="0.3">
      <c r="A351"/>
      <c r="B351"/>
      <c r="C351"/>
      <c r="D351"/>
      <c r="E351"/>
      <c r="F351"/>
      <c r="G351"/>
      <c r="H351"/>
      <c r="I351"/>
      <c r="L351" s="64"/>
    </row>
    <row r="352" spans="1:12" x14ac:dyDescent="0.3">
      <c r="A352"/>
      <c r="B352"/>
      <c r="C352"/>
      <c r="D352"/>
      <c r="E352"/>
      <c r="F352"/>
      <c r="G352"/>
      <c r="H352"/>
      <c r="I352"/>
      <c r="L352" s="64"/>
    </row>
    <row r="353" spans="1:12" x14ac:dyDescent="0.3">
      <c r="A353"/>
      <c r="B353"/>
      <c r="C353"/>
      <c r="D353"/>
      <c r="E353"/>
      <c r="F353"/>
      <c r="G353"/>
      <c r="H353"/>
      <c r="I353"/>
      <c r="L353" s="64"/>
    </row>
    <row r="354" spans="1:12" x14ac:dyDescent="0.3">
      <c r="A354"/>
      <c r="B354"/>
      <c r="C354"/>
      <c r="D354"/>
      <c r="E354"/>
      <c r="F354"/>
      <c r="G354"/>
      <c r="H354"/>
      <c r="I354"/>
      <c r="L354" s="64"/>
    </row>
    <row r="355" spans="1:12" x14ac:dyDescent="0.3">
      <c r="A355"/>
      <c r="B355"/>
      <c r="C355"/>
      <c r="D355"/>
      <c r="E355"/>
      <c r="F355"/>
      <c r="G355"/>
      <c r="H355"/>
      <c r="I355"/>
      <c r="L355" s="64"/>
    </row>
    <row r="356" spans="1:12" x14ac:dyDescent="0.3">
      <c r="A356"/>
      <c r="B356"/>
      <c r="C356"/>
      <c r="D356"/>
      <c r="E356"/>
      <c r="F356"/>
      <c r="G356"/>
      <c r="H356"/>
      <c r="I356"/>
      <c r="L356" s="64"/>
    </row>
    <row r="357" spans="1:12" x14ac:dyDescent="0.3">
      <c r="A357"/>
      <c r="B357"/>
      <c r="C357"/>
      <c r="D357"/>
      <c r="E357"/>
      <c r="F357"/>
      <c r="G357"/>
      <c r="H357"/>
      <c r="I357"/>
      <c r="L357" s="64"/>
    </row>
    <row r="358" spans="1:12" x14ac:dyDescent="0.3">
      <c r="A358"/>
      <c r="B358"/>
      <c r="C358"/>
      <c r="D358"/>
      <c r="E358"/>
      <c r="F358"/>
      <c r="G358"/>
      <c r="H358"/>
      <c r="I358"/>
      <c r="L358" s="64"/>
    </row>
    <row r="359" spans="1:12" x14ac:dyDescent="0.3">
      <c r="A359"/>
      <c r="B359"/>
      <c r="C359"/>
      <c r="D359"/>
      <c r="E359"/>
      <c r="F359"/>
      <c r="G359"/>
      <c r="H359"/>
      <c r="I359"/>
      <c r="L359" s="64"/>
    </row>
    <row r="360" spans="1:12" x14ac:dyDescent="0.3">
      <c r="A360"/>
      <c r="B360"/>
      <c r="C360"/>
      <c r="D360"/>
      <c r="E360"/>
      <c r="F360"/>
      <c r="G360"/>
      <c r="H360"/>
      <c r="I360"/>
      <c r="L360" s="64"/>
    </row>
    <row r="361" spans="1:12" x14ac:dyDescent="0.3">
      <c r="A361"/>
      <c r="B361"/>
      <c r="C361"/>
      <c r="D361"/>
      <c r="E361"/>
      <c r="F361"/>
      <c r="G361"/>
      <c r="H361"/>
      <c r="I361"/>
      <c r="L361" s="64"/>
    </row>
    <row r="362" spans="1:12" x14ac:dyDescent="0.3">
      <c r="A362"/>
      <c r="B362"/>
      <c r="C362"/>
      <c r="D362"/>
      <c r="E362"/>
      <c r="F362"/>
      <c r="G362"/>
      <c r="H362"/>
      <c r="I362"/>
      <c r="L362" s="64"/>
    </row>
    <row r="363" spans="1:12" x14ac:dyDescent="0.3">
      <c r="A363"/>
      <c r="B363"/>
      <c r="C363"/>
      <c r="D363"/>
      <c r="E363"/>
      <c r="F363"/>
      <c r="G363"/>
      <c r="H363"/>
      <c r="I363"/>
      <c r="L363" s="64"/>
    </row>
    <row r="364" spans="1:12" x14ac:dyDescent="0.3">
      <c r="A364"/>
      <c r="B364"/>
      <c r="C364"/>
      <c r="D364"/>
      <c r="E364"/>
      <c r="F364"/>
      <c r="G364"/>
      <c r="H364"/>
      <c r="I364"/>
      <c r="L364" s="64"/>
    </row>
    <row r="365" spans="1:12" x14ac:dyDescent="0.3">
      <c r="A365"/>
      <c r="B365"/>
      <c r="C365"/>
      <c r="D365"/>
      <c r="E365"/>
      <c r="F365"/>
      <c r="G365"/>
      <c r="H365"/>
      <c r="I365"/>
      <c r="L365" s="64"/>
    </row>
    <row r="366" spans="1:12" x14ac:dyDescent="0.3">
      <c r="A366"/>
      <c r="B366"/>
      <c r="C366"/>
      <c r="D366"/>
      <c r="E366"/>
      <c r="F366"/>
      <c r="G366"/>
      <c r="H366"/>
      <c r="I366"/>
      <c r="L366" s="64"/>
    </row>
    <row r="367" spans="1:12" x14ac:dyDescent="0.3">
      <c r="A367"/>
      <c r="B367"/>
      <c r="C367"/>
      <c r="D367"/>
      <c r="E367"/>
      <c r="F367"/>
      <c r="G367"/>
      <c r="H367"/>
      <c r="I367"/>
      <c r="L367" s="64"/>
    </row>
    <row r="368" spans="1:12" x14ac:dyDescent="0.3">
      <c r="A368"/>
      <c r="B368"/>
      <c r="C368"/>
      <c r="D368"/>
      <c r="E368"/>
      <c r="F368"/>
      <c r="G368"/>
      <c r="H368"/>
      <c r="I368"/>
      <c r="L368" s="64"/>
    </row>
    <row r="369" spans="1:12" x14ac:dyDescent="0.3">
      <c r="A369"/>
      <c r="B369"/>
      <c r="C369"/>
      <c r="D369"/>
      <c r="E369"/>
      <c r="F369"/>
      <c r="G369"/>
      <c r="H369"/>
      <c r="I369"/>
      <c r="L369" s="64"/>
    </row>
    <row r="370" spans="1:12" x14ac:dyDescent="0.3">
      <c r="A370"/>
      <c r="B370"/>
      <c r="C370"/>
      <c r="D370"/>
      <c r="E370"/>
      <c r="F370"/>
      <c r="G370"/>
      <c r="H370"/>
      <c r="I370"/>
      <c r="L370" s="64"/>
    </row>
    <row r="371" spans="1:12" x14ac:dyDescent="0.3">
      <c r="A371"/>
      <c r="B371"/>
      <c r="C371"/>
      <c r="D371"/>
      <c r="E371"/>
      <c r="F371"/>
      <c r="G371"/>
      <c r="H371"/>
      <c r="I371"/>
      <c r="L371" s="64"/>
    </row>
    <row r="372" spans="1:12" x14ac:dyDescent="0.3">
      <c r="A372"/>
      <c r="B372"/>
      <c r="C372"/>
      <c r="D372"/>
      <c r="E372"/>
      <c r="F372"/>
      <c r="G372"/>
      <c r="H372"/>
      <c r="I372"/>
      <c r="L372" s="64"/>
    </row>
    <row r="373" spans="1:12" x14ac:dyDescent="0.3">
      <c r="A373"/>
      <c r="B373"/>
      <c r="C373"/>
      <c r="D373"/>
      <c r="E373"/>
      <c r="F373"/>
      <c r="G373"/>
      <c r="H373"/>
      <c r="I373"/>
      <c r="L373" s="64"/>
    </row>
    <row r="374" spans="1:12" x14ac:dyDescent="0.3">
      <c r="A374"/>
      <c r="B374"/>
      <c r="C374"/>
      <c r="D374"/>
      <c r="E374"/>
      <c r="F374"/>
      <c r="G374"/>
      <c r="H374"/>
      <c r="I374"/>
      <c r="L374" s="64"/>
    </row>
    <row r="375" spans="1:12" x14ac:dyDescent="0.3">
      <c r="A375"/>
      <c r="B375"/>
      <c r="C375"/>
      <c r="D375"/>
      <c r="E375"/>
      <c r="F375"/>
      <c r="G375"/>
      <c r="H375"/>
      <c r="I375"/>
      <c r="L375" s="64"/>
    </row>
    <row r="376" spans="1:12" x14ac:dyDescent="0.3">
      <c r="A376"/>
      <c r="B376"/>
      <c r="C376"/>
      <c r="D376"/>
      <c r="E376"/>
      <c r="F376"/>
      <c r="G376"/>
      <c r="H376"/>
      <c r="I376"/>
      <c r="L376" s="64"/>
    </row>
    <row r="377" spans="1:12" x14ac:dyDescent="0.3">
      <c r="A377"/>
      <c r="B377"/>
      <c r="C377"/>
      <c r="D377"/>
      <c r="E377"/>
      <c r="F377"/>
      <c r="G377"/>
      <c r="H377"/>
      <c r="I377"/>
      <c r="L377" s="64"/>
    </row>
    <row r="378" spans="1:12" x14ac:dyDescent="0.3">
      <c r="A378"/>
      <c r="B378"/>
      <c r="C378"/>
      <c r="D378"/>
      <c r="E378"/>
      <c r="F378"/>
      <c r="G378"/>
      <c r="H378"/>
      <c r="I378"/>
      <c r="L378" s="64"/>
    </row>
    <row r="379" spans="1:12" x14ac:dyDescent="0.3">
      <c r="A379"/>
      <c r="B379"/>
      <c r="C379"/>
      <c r="D379"/>
      <c r="E379"/>
      <c r="F379"/>
      <c r="G379"/>
      <c r="H379"/>
      <c r="I379"/>
      <c r="L379" s="64"/>
    </row>
    <row r="380" spans="1:12" x14ac:dyDescent="0.3">
      <c r="A380"/>
      <c r="B380"/>
      <c r="C380"/>
      <c r="D380"/>
      <c r="E380"/>
      <c r="F380"/>
      <c r="G380"/>
      <c r="H380"/>
      <c r="I380"/>
      <c r="L380" s="64"/>
    </row>
    <row r="381" spans="1:12" x14ac:dyDescent="0.3">
      <c r="A381"/>
      <c r="B381"/>
      <c r="C381"/>
      <c r="D381"/>
      <c r="E381"/>
      <c r="F381"/>
      <c r="G381"/>
      <c r="H381"/>
      <c r="I381"/>
      <c r="L381" s="64"/>
    </row>
    <row r="382" spans="1:12" x14ac:dyDescent="0.3">
      <c r="A382"/>
      <c r="B382"/>
      <c r="C382"/>
      <c r="D382"/>
      <c r="E382"/>
      <c r="F382"/>
      <c r="G382"/>
      <c r="H382"/>
      <c r="I382"/>
      <c r="L382" s="64"/>
    </row>
    <row r="383" spans="1:12" x14ac:dyDescent="0.3">
      <c r="A383"/>
      <c r="B383"/>
      <c r="C383"/>
      <c r="D383"/>
      <c r="E383"/>
      <c r="F383"/>
      <c r="G383"/>
      <c r="H383"/>
      <c r="I383"/>
      <c r="L383" s="64"/>
    </row>
    <row r="384" spans="1:12" x14ac:dyDescent="0.3">
      <c r="A384"/>
      <c r="B384"/>
      <c r="C384"/>
      <c r="D384"/>
      <c r="E384"/>
      <c r="F384"/>
      <c r="G384"/>
      <c r="H384"/>
      <c r="I384"/>
      <c r="L384" s="64"/>
    </row>
    <row r="385" spans="1:12" x14ac:dyDescent="0.3">
      <c r="A385"/>
      <c r="B385"/>
      <c r="C385"/>
      <c r="D385"/>
      <c r="E385"/>
      <c r="F385"/>
      <c r="G385"/>
      <c r="H385"/>
      <c r="I385"/>
      <c r="L385" s="64"/>
    </row>
    <row r="386" spans="1:12" x14ac:dyDescent="0.3">
      <c r="A386"/>
      <c r="B386"/>
      <c r="C386"/>
      <c r="D386"/>
      <c r="E386"/>
      <c r="F386"/>
      <c r="G386"/>
      <c r="H386"/>
      <c r="I386"/>
      <c r="L386" s="64"/>
    </row>
    <row r="387" spans="1:12" x14ac:dyDescent="0.3">
      <c r="A387"/>
      <c r="B387"/>
      <c r="C387"/>
      <c r="D387"/>
      <c r="E387"/>
      <c r="F387"/>
      <c r="G387"/>
      <c r="H387"/>
      <c r="I387"/>
      <c r="L387" s="64"/>
    </row>
    <row r="388" spans="1:12" x14ac:dyDescent="0.3">
      <c r="A388"/>
      <c r="B388"/>
      <c r="C388"/>
      <c r="D388"/>
      <c r="E388"/>
      <c r="F388"/>
      <c r="G388"/>
      <c r="H388"/>
      <c r="I388"/>
      <c r="L388" s="64"/>
    </row>
    <row r="389" spans="1:12" x14ac:dyDescent="0.3">
      <c r="A389"/>
      <c r="B389"/>
      <c r="C389"/>
      <c r="D389"/>
      <c r="E389"/>
      <c r="F389"/>
      <c r="G389"/>
      <c r="H389"/>
      <c r="I389"/>
      <c r="L389" s="64"/>
    </row>
    <row r="390" spans="1:12" x14ac:dyDescent="0.3">
      <c r="A390"/>
      <c r="B390"/>
      <c r="C390"/>
      <c r="D390"/>
      <c r="E390"/>
      <c r="F390"/>
      <c r="G390"/>
      <c r="H390"/>
      <c r="I390"/>
      <c r="L390" s="64"/>
    </row>
    <row r="391" spans="1:12" x14ac:dyDescent="0.3">
      <c r="A391"/>
      <c r="B391"/>
      <c r="C391"/>
      <c r="D391"/>
      <c r="E391"/>
      <c r="F391"/>
      <c r="G391"/>
      <c r="H391"/>
      <c r="I391"/>
      <c r="L391" s="64"/>
    </row>
    <row r="392" spans="1:12" x14ac:dyDescent="0.3">
      <c r="A392"/>
      <c r="B392"/>
      <c r="C392"/>
      <c r="D392"/>
      <c r="E392"/>
      <c r="F392"/>
      <c r="G392"/>
      <c r="H392"/>
      <c r="I392"/>
      <c r="L392" s="64"/>
    </row>
    <row r="393" spans="1:12" x14ac:dyDescent="0.3">
      <c r="A393"/>
      <c r="B393"/>
      <c r="C393"/>
      <c r="D393"/>
      <c r="E393"/>
      <c r="F393"/>
      <c r="G393"/>
      <c r="H393"/>
      <c r="I393"/>
      <c r="L393" s="64"/>
    </row>
    <row r="394" spans="1:12" x14ac:dyDescent="0.3">
      <c r="A394"/>
      <c r="B394"/>
      <c r="C394"/>
      <c r="D394"/>
      <c r="E394"/>
      <c r="F394"/>
      <c r="G394"/>
      <c r="H394"/>
      <c r="I394"/>
      <c r="L394" s="64"/>
    </row>
    <row r="395" spans="1:12" x14ac:dyDescent="0.3">
      <c r="A395"/>
      <c r="B395"/>
      <c r="C395"/>
      <c r="D395"/>
      <c r="E395"/>
      <c r="F395"/>
      <c r="G395"/>
      <c r="H395"/>
      <c r="I395"/>
      <c r="L395" s="64"/>
    </row>
    <row r="396" spans="1:12" x14ac:dyDescent="0.3">
      <c r="A396"/>
      <c r="B396"/>
      <c r="C396"/>
      <c r="D396"/>
      <c r="E396"/>
      <c r="F396"/>
      <c r="G396"/>
      <c r="H396"/>
      <c r="I396"/>
      <c r="L396" s="64"/>
    </row>
    <row r="397" spans="1:12" x14ac:dyDescent="0.3">
      <c r="A397"/>
      <c r="B397"/>
      <c r="C397"/>
      <c r="D397"/>
      <c r="E397"/>
      <c r="F397"/>
      <c r="G397"/>
      <c r="H397"/>
      <c r="I397"/>
      <c r="L397" s="64"/>
    </row>
    <row r="398" spans="1:12" x14ac:dyDescent="0.3">
      <c r="A398"/>
      <c r="B398"/>
      <c r="C398"/>
      <c r="D398"/>
      <c r="E398"/>
      <c r="F398"/>
      <c r="G398"/>
      <c r="H398"/>
      <c r="I398"/>
      <c r="L398" s="64"/>
    </row>
    <row r="399" spans="1:12" x14ac:dyDescent="0.3">
      <c r="A399"/>
      <c r="B399"/>
      <c r="C399"/>
      <c r="D399"/>
      <c r="E399"/>
      <c r="F399"/>
      <c r="G399"/>
      <c r="H399"/>
      <c r="I399"/>
      <c r="L399" s="64"/>
    </row>
    <row r="400" spans="1:12" x14ac:dyDescent="0.3">
      <c r="A400"/>
      <c r="B400"/>
      <c r="C400"/>
      <c r="D400"/>
      <c r="E400"/>
      <c r="F400"/>
      <c r="G400"/>
      <c r="H400"/>
      <c r="I400"/>
      <c r="L400" s="64"/>
    </row>
    <row r="401" spans="1:12" x14ac:dyDescent="0.3">
      <c r="A401"/>
      <c r="B401"/>
      <c r="C401"/>
      <c r="D401"/>
      <c r="E401"/>
      <c r="F401"/>
      <c r="G401"/>
      <c r="H401"/>
      <c r="I401"/>
      <c r="L401" s="64"/>
    </row>
    <row r="402" spans="1:12" x14ac:dyDescent="0.3">
      <c r="A402"/>
      <c r="B402"/>
      <c r="C402"/>
      <c r="D402"/>
      <c r="E402"/>
      <c r="F402"/>
      <c r="G402"/>
      <c r="H402"/>
      <c r="I402"/>
      <c r="L402" s="64"/>
    </row>
    <row r="403" spans="1:12" x14ac:dyDescent="0.3">
      <c r="A403"/>
      <c r="B403"/>
      <c r="C403"/>
      <c r="D403"/>
      <c r="E403"/>
      <c r="F403"/>
      <c r="G403"/>
      <c r="H403"/>
      <c r="I403"/>
      <c r="L403" s="64"/>
    </row>
    <row r="404" spans="1:12" x14ac:dyDescent="0.3">
      <c r="A404"/>
      <c r="B404"/>
      <c r="C404"/>
      <c r="D404"/>
      <c r="E404"/>
      <c r="F404"/>
      <c r="G404"/>
      <c r="H404"/>
      <c r="I404"/>
      <c r="L404" s="64"/>
    </row>
    <row r="405" spans="1:12" x14ac:dyDescent="0.3">
      <c r="A405"/>
      <c r="B405"/>
      <c r="C405"/>
      <c r="D405"/>
      <c r="E405"/>
      <c r="F405"/>
      <c r="G405"/>
      <c r="H405"/>
      <c r="I405"/>
      <c r="L405" s="64"/>
    </row>
    <row r="406" spans="1:12" x14ac:dyDescent="0.3">
      <c r="A406"/>
      <c r="B406"/>
      <c r="C406"/>
      <c r="D406"/>
      <c r="E406"/>
      <c r="F406"/>
      <c r="G406"/>
      <c r="H406"/>
      <c r="I406"/>
      <c r="L406" s="64"/>
    </row>
    <row r="407" spans="1:12" x14ac:dyDescent="0.3">
      <c r="A407"/>
      <c r="B407"/>
      <c r="C407"/>
      <c r="D407"/>
      <c r="E407"/>
      <c r="F407"/>
      <c r="G407"/>
      <c r="H407"/>
      <c r="I407"/>
      <c r="L407" s="64"/>
    </row>
    <row r="408" spans="1:12" x14ac:dyDescent="0.3">
      <c r="A408"/>
      <c r="B408"/>
      <c r="C408"/>
      <c r="D408"/>
      <c r="E408"/>
      <c r="F408"/>
      <c r="G408"/>
      <c r="H408"/>
      <c r="I408"/>
      <c r="L408" s="64"/>
    </row>
    <row r="409" spans="1:12" x14ac:dyDescent="0.3">
      <c r="A409"/>
      <c r="B409"/>
      <c r="C409"/>
      <c r="D409"/>
      <c r="E409"/>
      <c r="F409"/>
      <c r="G409"/>
      <c r="H409"/>
      <c r="I409"/>
      <c r="L409" s="64"/>
    </row>
    <row r="410" spans="1:12" x14ac:dyDescent="0.3">
      <c r="A410"/>
      <c r="B410"/>
      <c r="C410"/>
      <c r="D410"/>
      <c r="E410"/>
      <c r="F410"/>
      <c r="G410"/>
      <c r="H410"/>
      <c r="I410"/>
      <c r="L410" s="64"/>
    </row>
    <row r="411" spans="1:12" x14ac:dyDescent="0.3">
      <c r="A411"/>
      <c r="B411"/>
      <c r="C411"/>
      <c r="D411"/>
      <c r="E411"/>
      <c r="F411"/>
      <c r="G411"/>
      <c r="H411"/>
      <c r="I411"/>
      <c r="L411" s="64"/>
    </row>
    <row r="412" spans="1:12" x14ac:dyDescent="0.3">
      <c r="A412"/>
      <c r="B412"/>
      <c r="C412"/>
      <c r="D412"/>
      <c r="E412"/>
      <c r="F412"/>
      <c r="G412"/>
      <c r="H412"/>
      <c r="I412"/>
      <c r="L412" s="64"/>
    </row>
    <row r="413" spans="1:12" x14ac:dyDescent="0.3">
      <c r="A413"/>
      <c r="B413"/>
      <c r="C413"/>
      <c r="D413"/>
      <c r="E413"/>
      <c r="F413"/>
      <c r="G413"/>
      <c r="H413"/>
      <c r="I413"/>
      <c r="L413" s="64"/>
    </row>
    <row r="414" spans="1:12" x14ac:dyDescent="0.3">
      <c r="A414"/>
      <c r="B414"/>
      <c r="C414"/>
      <c r="D414"/>
      <c r="E414"/>
      <c r="F414"/>
      <c r="G414"/>
      <c r="H414"/>
      <c r="I414"/>
      <c r="L414" s="64"/>
    </row>
    <row r="415" spans="1:12" x14ac:dyDescent="0.3">
      <c r="A415"/>
      <c r="B415"/>
      <c r="C415"/>
      <c r="D415"/>
      <c r="E415"/>
      <c r="F415"/>
      <c r="G415"/>
      <c r="H415"/>
      <c r="I415"/>
      <c r="L415" s="64"/>
    </row>
    <row r="416" spans="1:12" x14ac:dyDescent="0.3">
      <c r="A416"/>
      <c r="B416"/>
      <c r="C416"/>
      <c r="D416"/>
      <c r="E416"/>
      <c r="F416"/>
      <c r="G416"/>
      <c r="H416"/>
      <c r="I416"/>
      <c r="L416" s="64"/>
    </row>
    <row r="417" spans="1:12" x14ac:dyDescent="0.3">
      <c r="A417"/>
      <c r="B417"/>
      <c r="C417"/>
      <c r="D417"/>
      <c r="E417"/>
      <c r="F417"/>
      <c r="G417"/>
      <c r="H417"/>
      <c r="I417"/>
      <c r="L417" s="64"/>
    </row>
    <row r="418" spans="1:12" x14ac:dyDescent="0.3">
      <c r="A418"/>
      <c r="B418"/>
      <c r="C418"/>
      <c r="D418"/>
      <c r="E418"/>
      <c r="F418"/>
      <c r="G418"/>
      <c r="H418"/>
      <c r="I418"/>
      <c r="L418" s="64"/>
    </row>
    <row r="419" spans="1:12" x14ac:dyDescent="0.3">
      <c r="A419"/>
      <c r="B419"/>
      <c r="C419"/>
      <c r="D419"/>
      <c r="E419"/>
      <c r="F419"/>
      <c r="G419"/>
      <c r="H419"/>
      <c r="I419"/>
      <c r="L419" s="64"/>
    </row>
    <row r="420" spans="1:12" x14ac:dyDescent="0.3">
      <c r="A420"/>
      <c r="B420"/>
      <c r="C420"/>
      <c r="D420"/>
      <c r="E420"/>
      <c r="F420"/>
      <c r="G420"/>
      <c r="H420"/>
      <c r="I420"/>
      <c r="L420" s="64"/>
    </row>
    <row r="421" spans="1:12" x14ac:dyDescent="0.3">
      <c r="A421"/>
      <c r="B421"/>
      <c r="C421"/>
      <c r="D421"/>
      <c r="E421"/>
      <c r="F421"/>
      <c r="G421"/>
      <c r="H421"/>
      <c r="I421"/>
      <c r="L421" s="64"/>
    </row>
    <row r="422" spans="1:12" x14ac:dyDescent="0.3">
      <c r="A422"/>
      <c r="B422"/>
      <c r="C422"/>
      <c r="D422"/>
      <c r="E422"/>
      <c r="F422"/>
      <c r="G422"/>
      <c r="H422"/>
      <c r="I422"/>
      <c r="L422" s="64"/>
    </row>
    <row r="423" spans="1:12" x14ac:dyDescent="0.3">
      <c r="A423"/>
      <c r="B423"/>
      <c r="C423"/>
      <c r="D423"/>
      <c r="E423"/>
      <c r="F423"/>
      <c r="G423"/>
      <c r="H423"/>
      <c r="I423"/>
      <c r="L423" s="64"/>
    </row>
    <row r="424" spans="1:12" x14ac:dyDescent="0.3">
      <c r="A424"/>
      <c r="B424"/>
      <c r="C424"/>
      <c r="D424"/>
      <c r="E424"/>
      <c r="F424"/>
      <c r="G424"/>
      <c r="H424"/>
      <c r="I424"/>
      <c r="L424" s="64"/>
    </row>
    <row r="425" spans="1:12" x14ac:dyDescent="0.3">
      <c r="A425"/>
      <c r="B425"/>
      <c r="C425"/>
      <c r="D425"/>
      <c r="E425"/>
      <c r="F425"/>
      <c r="G425"/>
      <c r="H425"/>
      <c r="I425"/>
      <c r="L425" s="64"/>
    </row>
    <row r="426" spans="1:12" x14ac:dyDescent="0.3">
      <c r="A426"/>
      <c r="B426"/>
      <c r="C426"/>
      <c r="D426"/>
      <c r="E426"/>
      <c r="F426"/>
      <c r="G426"/>
      <c r="H426"/>
      <c r="I426"/>
      <c r="L426" s="64"/>
    </row>
    <row r="427" spans="1:12" x14ac:dyDescent="0.3">
      <c r="A427"/>
      <c r="B427"/>
      <c r="C427"/>
      <c r="D427"/>
      <c r="E427"/>
      <c r="F427"/>
      <c r="G427"/>
      <c r="H427"/>
      <c r="I427"/>
      <c r="L427" s="64"/>
    </row>
    <row r="428" spans="1:12" x14ac:dyDescent="0.3">
      <c r="A428"/>
      <c r="B428"/>
      <c r="C428"/>
      <c r="D428"/>
      <c r="E428"/>
      <c r="F428"/>
      <c r="G428"/>
      <c r="H428"/>
      <c r="I428"/>
      <c r="L428" s="64"/>
    </row>
    <row r="429" spans="1:12" x14ac:dyDescent="0.3">
      <c r="A429"/>
      <c r="B429"/>
      <c r="C429"/>
      <c r="D429"/>
      <c r="E429"/>
      <c r="F429"/>
      <c r="G429"/>
      <c r="H429"/>
      <c r="I429"/>
      <c r="L429" s="64"/>
    </row>
    <row r="430" spans="1:12" x14ac:dyDescent="0.3">
      <c r="A430"/>
      <c r="B430"/>
      <c r="C430"/>
      <c r="D430"/>
      <c r="E430"/>
      <c r="F430"/>
      <c r="G430"/>
      <c r="H430"/>
      <c r="I430"/>
      <c r="L430" s="64"/>
    </row>
    <row r="431" spans="1:12" x14ac:dyDescent="0.3">
      <c r="A431"/>
      <c r="B431"/>
      <c r="C431"/>
      <c r="D431"/>
      <c r="E431"/>
      <c r="F431"/>
      <c r="G431"/>
      <c r="H431"/>
      <c r="I431"/>
      <c r="L431" s="64"/>
    </row>
    <row r="432" spans="1:12" x14ac:dyDescent="0.3">
      <c r="A432"/>
      <c r="B432"/>
      <c r="C432"/>
      <c r="D432"/>
      <c r="E432"/>
      <c r="F432"/>
      <c r="G432"/>
      <c r="H432"/>
      <c r="I432"/>
      <c r="L432" s="64"/>
    </row>
    <row r="433" spans="1:12" x14ac:dyDescent="0.3">
      <c r="A433"/>
      <c r="B433"/>
      <c r="C433"/>
      <c r="D433"/>
      <c r="E433"/>
      <c r="F433"/>
      <c r="G433"/>
      <c r="H433"/>
      <c r="I433"/>
      <c r="L433" s="64"/>
    </row>
    <row r="434" spans="1:12" x14ac:dyDescent="0.3">
      <c r="A434"/>
      <c r="B434"/>
      <c r="C434"/>
      <c r="D434"/>
      <c r="E434"/>
      <c r="F434"/>
      <c r="G434"/>
      <c r="H434"/>
      <c r="I434"/>
      <c r="L434" s="64"/>
    </row>
    <row r="435" spans="1:12" x14ac:dyDescent="0.3">
      <c r="A435"/>
      <c r="B435"/>
      <c r="C435"/>
      <c r="D435"/>
      <c r="E435"/>
      <c r="F435"/>
      <c r="G435"/>
      <c r="H435"/>
      <c r="I435"/>
      <c r="L435" s="64"/>
    </row>
    <row r="436" spans="1:12" x14ac:dyDescent="0.3">
      <c r="A436"/>
      <c r="B436"/>
      <c r="C436"/>
      <c r="D436"/>
      <c r="E436"/>
      <c r="F436"/>
      <c r="G436"/>
      <c r="H436"/>
      <c r="I436"/>
      <c r="L436" s="64"/>
    </row>
    <row r="437" spans="1:12" x14ac:dyDescent="0.3">
      <c r="A437"/>
      <c r="B437"/>
      <c r="C437"/>
      <c r="D437"/>
      <c r="E437"/>
      <c r="F437"/>
      <c r="G437"/>
      <c r="H437"/>
      <c r="I437"/>
      <c r="L437" s="64"/>
    </row>
    <row r="438" spans="1:12" x14ac:dyDescent="0.3">
      <c r="A438"/>
      <c r="B438"/>
      <c r="C438"/>
      <c r="D438"/>
      <c r="E438"/>
      <c r="F438"/>
      <c r="G438"/>
      <c r="H438"/>
      <c r="I438"/>
      <c r="L438" s="64"/>
    </row>
    <row r="439" spans="1:12" x14ac:dyDescent="0.3">
      <c r="A439"/>
      <c r="B439"/>
      <c r="C439"/>
      <c r="D439"/>
      <c r="E439"/>
      <c r="F439"/>
      <c r="G439"/>
      <c r="H439"/>
      <c r="I439"/>
      <c r="L439" s="64"/>
    </row>
    <row r="440" spans="1:12" x14ac:dyDescent="0.3">
      <c r="A440"/>
      <c r="B440"/>
      <c r="C440"/>
      <c r="D440"/>
      <c r="E440"/>
      <c r="F440"/>
      <c r="G440"/>
      <c r="H440"/>
      <c r="I440"/>
      <c r="L440" s="64"/>
    </row>
    <row r="441" spans="1:12" x14ac:dyDescent="0.3">
      <c r="A441"/>
      <c r="B441"/>
      <c r="C441"/>
      <c r="D441"/>
      <c r="E441"/>
      <c r="F441"/>
      <c r="G441"/>
      <c r="H441"/>
      <c r="I441"/>
      <c r="L441" s="64"/>
    </row>
    <row r="442" spans="1:12" x14ac:dyDescent="0.3">
      <c r="A442"/>
      <c r="B442"/>
      <c r="C442"/>
      <c r="D442"/>
      <c r="E442"/>
      <c r="F442"/>
      <c r="G442"/>
      <c r="H442"/>
      <c r="I442"/>
      <c r="L442" s="64"/>
    </row>
    <row r="443" spans="1:12" x14ac:dyDescent="0.3">
      <c r="A443"/>
      <c r="B443"/>
      <c r="C443"/>
      <c r="D443"/>
      <c r="E443"/>
      <c r="F443"/>
      <c r="G443"/>
      <c r="H443"/>
      <c r="I443"/>
      <c r="L443" s="64"/>
    </row>
    <row r="444" spans="1:12" x14ac:dyDescent="0.3">
      <c r="A444"/>
      <c r="B444"/>
      <c r="C444"/>
      <c r="D444"/>
      <c r="E444"/>
      <c r="F444"/>
      <c r="G444"/>
      <c r="H444"/>
      <c r="I444"/>
      <c r="L444" s="64"/>
    </row>
    <row r="445" spans="1:12" x14ac:dyDescent="0.3">
      <c r="A445"/>
      <c r="B445"/>
      <c r="C445"/>
      <c r="D445"/>
      <c r="E445"/>
      <c r="F445"/>
      <c r="G445"/>
      <c r="H445"/>
      <c r="I445"/>
      <c r="L445" s="64"/>
    </row>
    <row r="446" spans="1:12" x14ac:dyDescent="0.3">
      <c r="A446"/>
      <c r="B446"/>
      <c r="C446"/>
      <c r="D446"/>
      <c r="E446"/>
      <c r="F446"/>
      <c r="G446"/>
      <c r="H446"/>
      <c r="I446"/>
      <c r="L446" s="64"/>
    </row>
    <row r="447" spans="1:12" x14ac:dyDescent="0.3">
      <c r="A447"/>
      <c r="B447"/>
      <c r="C447"/>
      <c r="D447"/>
      <c r="E447"/>
      <c r="F447"/>
      <c r="G447"/>
      <c r="H447"/>
      <c r="I447"/>
      <c r="L447" s="64"/>
    </row>
    <row r="448" spans="1:12" x14ac:dyDescent="0.3">
      <c r="A448"/>
      <c r="B448"/>
      <c r="C448"/>
      <c r="D448"/>
      <c r="E448"/>
      <c r="F448"/>
      <c r="G448"/>
      <c r="H448"/>
      <c r="I448"/>
      <c r="L448" s="64"/>
    </row>
    <row r="449" spans="1:12" x14ac:dyDescent="0.3">
      <c r="A449"/>
      <c r="B449"/>
      <c r="C449"/>
      <c r="D449"/>
      <c r="E449"/>
      <c r="F449"/>
      <c r="G449"/>
      <c r="H449"/>
      <c r="I449"/>
      <c r="L449" s="64"/>
    </row>
    <row r="450" spans="1:12" x14ac:dyDescent="0.3">
      <c r="A450"/>
      <c r="B450"/>
      <c r="C450"/>
      <c r="D450"/>
      <c r="E450"/>
      <c r="F450"/>
      <c r="G450"/>
      <c r="H450"/>
      <c r="I450"/>
      <c r="L450" s="64"/>
    </row>
    <row r="451" spans="1:12" x14ac:dyDescent="0.3">
      <c r="A451"/>
      <c r="B451"/>
      <c r="C451"/>
      <c r="D451"/>
      <c r="E451"/>
      <c r="F451"/>
      <c r="G451"/>
      <c r="H451"/>
      <c r="I451"/>
      <c r="L451" s="64"/>
    </row>
    <row r="452" spans="1:12" x14ac:dyDescent="0.3">
      <c r="A452"/>
      <c r="B452"/>
      <c r="C452"/>
      <c r="D452"/>
      <c r="E452"/>
      <c r="F452"/>
      <c r="G452"/>
      <c r="H452"/>
      <c r="I452"/>
      <c r="L452" s="64"/>
    </row>
    <row r="453" spans="1:12" x14ac:dyDescent="0.3">
      <c r="A453"/>
      <c r="B453"/>
      <c r="C453"/>
      <c r="D453"/>
      <c r="E453"/>
      <c r="F453"/>
      <c r="G453"/>
      <c r="H453"/>
      <c r="I453"/>
      <c r="L453" s="64"/>
    </row>
    <row r="454" spans="1:12" x14ac:dyDescent="0.3">
      <c r="A454"/>
      <c r="B454"/>
      <c r="C454"/>
      <c r="D454"/>
      <c r="E454"/>
      <c r="F454"/>
      <c r="G454"/>
      <c r="H454"/>
      <c r="I454"/>
      <c r="L454" s="64"/>
    </row>
    <row r="455" spans="1:12" x14ac:dyDescent="0.3">
      <c r="A455"/>
      <c r="B455"/>
      <c r="C455"/>
      <c r="D455"/>
      <c r="E455"/>
      <c r="F455"/>
      <c r="G455"/>
      <c r="H455"/>
      <c r="I455"/>
      <c r="L455" s="64"/>
    </row>
    <row r="456" spans="1:12" x14ac:dyDescent="0.3">
      <c r="A456"/>
      <c r="B456"/>
      <c r="C456"/>
      <c r="D456"/>
      <c r="E456"/>
      <c r="F456"/>
      <c r="G456"/>
      <c r="H456"/>
      <c r="I456"/>
      <c r="L456" s="64"/>
    </row>
    <row r="457" spans="1:12" x14ac:dyDescent="0.3">
      <c r="A457"/>
      <c r="B457"/>
      <c r="C457"/>
      <c r="D457"/>
      <c r="E457"/>
      <c r="F457"/>
      <c r="G457"/>
      <c r="H457"/>
      <c r="I457"/>
      <c r="L457" s="64"/>
    </row>
    <row r="458" spans="1:12" x14ac:dyDescent="0.3">
      <c r="A458"/>
      <c r="B458"/>
      <c r="C458"/>
      <c r="D458"/>
      <c r="E458"/>
      <c r="F458"/>
      <c r="G458"/>
      <c r="H458"/>
      <c r="I458"/>
      <c r="L458" s="64"/>
    </row>
    <row r="459" spans="1:12" x14ac:dyDescent="0.3">
      <c r="A459"/>
      <c r="B459"/>
      <c r="C459"/>
      <c r="D459"/>
      <c r="E459"/>
      <c r="F459"/>
      <c r="G459"/>
      <c r="H459"/>
      <c r="I459"/>
      <c r="L459" s="64"/>
    </row>
    <row r="460" spans="1:12" x14ac:dyDescent="0.3">
      <c r="A460"/>
      <c r="B460"/>
      <c r="C460"/>
      <c r="D460"/>
      <c r="E460"/>
      <c r="F460"/>
      <c r="G460"/>
      <c r="H460"/>
      <c r="I460"/>
      <c r="L460" s="64"/>
    </row>
    <row r="461" spans="1:12" x14ac:dyDescent="0.3">
      <c r="A461"/>
      <c r="B461"/>
      <c r="C461"/>
      <c r="D461"/>
      <c r="E461"/>
      <c r="F461"/>
      <c r="G461"/>
      <c r="H461"/>
      <c r="I461"/>
      <c r="L461" s="64"/>
    </row>
    <row r="462" spans="1:12" x14ac:dyDescent="0.3">
      <c r="A462"/>
      <c r="B462"/>
      <c r="C462"/>
      <c r="D462"/>
      <c r="E462"/>
      <c r="F462"/>
      <c r="G462"/>
      <c r="H462"/>
      <c r="I462"/>
      <c r="L462" s="64"/>
    </row>
    <row r="463" spans="1:12" x14ac:dyDescent="0.3">
      <c r="A463"/>
      <c r="B463"/>
      <c r="C463"/>
      <c r="D463"/>
      <c r="E463"/>
      <c r="F463"/>
      <c r="G463"/>
      <c r="H463"/>
      <c r="I463"/>
      <c r="L463" s="64"/>
    </row>
    <row r="464" spans="1:12" x14ac:dyDescent="0.3">
      <c r="A464"/>
      <c r="B464"/>
      <c r="C464"/>
      <c r="D464"/>
      <c r="E464"/>
      <c r="F464"/>
      <c r="G464"/>
      <c r="H464"/>
      <c r="I464"/>
      <c r="L464" s="64"/>
    </row>
    <row r="465" spans="1:12" x14ac:dyDescent="0.3">
      <c r="A465"/>
      <c r="B465"/>
      <c r="C465"/>
      <c r="D465"/>
      <c r="E465"/>
      <c r="F465"/>
      <c r="G465"/>
      <c r="H465"/>
      <c r="I465"/>
      <c r="L465" s="64"/>
    </row>
    <row r="466" spans="1:12" x14ac:dyDescent="0.3">
      <c r="A466"/>
      <c r="B466"/>
      <c r="C466"/>
      <c r="D466"/>
      <c r="E466"/>
      <c r="F466"/>
      <c r="G466"/>
      <c r="H466"/>
      <c r="I466"/>
      <c r="L466" s="64"/>
    </row>
    <row r="467" spans="1:12" x14ac:dyDescent="0.3">
      <c r="A467"/>
      <c r="B467"/>
      <c r="C467"/>
      <c r="D467"/>
      <c r="E467"/>
      <c r="F467"/>
      <c r="G467"/>
      <c r="H467"/>
      <c r="I467"/>
      <c r="L467" s="64"/>
    </row>
    <row r="468" spans="1:12" x14ac:dyDescent="0.3">
      <c r="A468"/>
      <c r="B468"/>
      <c r="C468"/>
      <c r="D468"/>
      <c r="E468"/>
      <c r="F468"/>
      <c r="G468"/>
      <c r="H468"/>
      <c r="I468"/>
      <c r="L468" s="64"/>
    </row>
    <row r="469" spans="1:12" x14ac:dyDescent="0.3">
      <c r="A469"/>
      <c r="B469"/>
      <c r="C469"/>
      <c r="D469"/>
      <c r="E469"/>
      <c r="F469"/>
      <c r="G469"/>
      <c r="H469"/>
      <c r="I469"/>
      <c r="L469" s="64"/>
    </row>
    <row r="470" spans="1:12" x14ac:dyDescent="0.3">
      <c r="A470"/>
      <c r="B470"/>
      <c r="C470"/>
      <c r="D470"/>
      <c r="E470"/>
      <c r="F470"/>
      <c r="G470"/>
      <c r="H470"/>
      <c r="I470"/>
      <c r="L470" s="64"/>
    </row>
    <row r="471" spans="1:12" x14ac:dyDescent="0.3">
      <c r="A471"/>
      <c r="B471"/>
      <c r="C471"/>
      <c r="D471"/>
      <c r="E471"/>
      <c r="F471"/>
      <c r="G471"/>
      <c r="H471"/>
      <c r="I471"/>
      <c r="L471" s="64"/>
    </row>
    <row r="472" spans="1:12" x14ac:dyDescent="0.3">
      <c r="A472"/>
      <c r="B472"/>
      <c r="C472"/>
      <c r="D472"/>
      <c r="E472"/>
      <c r="F472"/>
      <c r="G472"/>
      <c r="H472"/>
      <c r="I472"/>
      <c r="L472" s="64"/>
    </row>
    <row r="473" spans="1:12" x14ac:dyDescent="0.3">
      <c r="A473"/>
      <c r="B473"/>
      <c r="C473"/>
      <c r="D473"/>
      <c r="E473"/>
      <c r="F473"/>
      <c r="G473"/>
      <c r="H473"/>
      <c r="I473"/>
      <c r="L473" s="64"/>
    </row>
    <row r="474" spans="1:12" x14ac:dyDescent="0.3">
      <c r="A474"/>
      <c r="B474"/>
      <c r="C474"/>
      <c r="D474"/>
      <c r="E474"/>
      <c r="F474"/>
      <c r="G474"/>
      <c r="H474"/>
      <c r="I474"/>
      <c r="L474" s="64"/>
    </row>
    <row r="475" spans="1:12" x14ac:dyDescent="0.3">
      <c r="A475"/>
      <c r="B475"/>
      <c r="C475"/>
      <c r="D475"/>
      <c r="E475"/>
      <c r="F475"/>
      <c r="G475"/>
      <c r="H475"/>
      <c r="I475"/>
      <c r="L475" s="64"/>
    </row>
    <row r="476" spans="1:12" x14ac:dyDescent="0.3">
      <c r="A476"/>
      <c r="B476"/>
      <c r="C476"/>
      <c r="D476"/>
      <c r="E476"/>
      <c r="F476"/>
      <c r="G476"/>
      <c r="H476"/>
      <c r="I476"/>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Instructions</vt:lpstr>
      <vt:lpstr>Documentation</vt:lpstr>
      <vt:lpstr>README</vt:lpstr>
      <vt:lpstr>Parameters</vt:lpstr>
      <vt:lpstr>CellAdj</vt:lpstr>
      <vt:lpstr>PVT CellAdj</vt:lpstr>
      <vt:lpstr>PVT StoreArea</vt:lpstr>
      <vt:lpstr>Impacts</vt:lpstr>
      <vt:lpstr>PVT Impacts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Sergio Pelayo</dc:creator>
  <cp:lastModifiedBy>Sergio Pelayo</cp:lastModifiedBy>
  <dcterms:created xsi:type="dcterms:W3CDTF">2024-08-08T14:57:47Z</dcterms:created>
  <dcterms:modified xsi:type="dcterms:W3CDTF">2024-12-13T23:15:42Z</dcterms:modified>
</cp:coreProperties>
</file>